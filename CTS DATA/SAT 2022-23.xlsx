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SQAC AND SAT\MIS SITE\CTS DATA\"/>
    </mc:Choice>
  </mc:AlternateContent>
  <xr:revisionPtr revIDLastSave="0" documentId="13_ncr:1_{852DFE84-3445-49E5-8F27-287AB04ADD9E}" xr6:coauthVersionLast="47" xr6:coauthVersionMax="47" xr10:uidLastSave="{00000000-0000-0000-0000-000000000000}"/>
  <bookViews>
    <workbookView xWindow="-108" yWindow="-108" windowWidth="23256" windowHeight="12456" tabRatio="857" xr2:uid="{00000000-000D-0000-FFFF-FFFF00000000}"/>
  </bookViews>
  <sheets>
    <sheet name="SAT 2022-23 First Sem" sheetId="5" r:id="rId1"/>
    <sheet name="SAT 2022-23 Second Sem" sheetId="6" r:id="rId2"/>
  </sheets>
  <definedNames>
    <definedName name="_xlnm._FilterDatabase" localSheetId="0" hidden="1">'SAT 2022-23 First Sem'!$A$1:$Z$135</definedName>
    <definedName name="_xlnm._FilterDatabase" localSheetId="1" hidden="1">'SAT 2022-23 Second Sem'!$A$1:$Z$135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5" l="1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2" i="5"/>
  <c r="X2" i="5"/>
  <c r="W2" i="5" l="1"/>
</calcChain>
</file>

<file path=xl/sharedStrings.xml><?xml version="1.0" encoding="utf-8"?>
<sst xmlns="http://schemas.openxmlformats.org/spreadsheetml/2006/main" count="2196" uniqueCount="184">
  <si>
    <t>SchoolId</t>
  </si>
  <si>
    <t>DistrictId</t>
  </si>
  <si>
    <t>District</t>
  </si>
  <si>
    <t>BlockId</t>
  </si>
  <si>
    <t>Block</t>
  </si>
  <si>
    <t>ClusterId</t>
  </si>
  <si>
    <t>Cluster</t>
  </si>
  <si>
    <t>School</t>
  </si>
  <si>
    <t>SchMgt</t>
  </si>
  <si>
    <t>Management</t>
  </si>
  <si>
    <t>is in SoE</t>
  </si>
  <si>
    <t>MAHESANA</t>
  </si>
  <si>
    <t>Local Body</t>
  </si>
  <si>
    <t>Y</t>
  </si>
  <si>
    <t>CHADASANA PRIMARY SCHOOL</t>
  </si>
  <si>
    <t>KADI</t>
  </si>
  <si>
    <t>KARANNAGAR</t>
  </si>
  <si>
    <t>ACHARASAN PRIMARY SCHOOL</t>
  </si>
  <si>
    <t>KUNDAL</t>
  </si>
  <si>
    <t>ADUNDARA PRIMARY SCHOOL</t>
  </si>
  <si>
    <t>MEDHA</t>
  </si>
  <si>
    <t>AGOL PRIMARY SCHOOL</t>
  </si>
  <si>
    <t>ALDESAN PRIMARY SCHOOL</t>
  </si>
  <si>
    <t>THOL</t>
  </si>
  <si>
    <t>AMBALIYARA PRIMARY SCHOOL</t>
  </si>
  <si>
    <t>ANAKHOL PRIMARY SCHOOL</t>
  </si>
  <si>
    <t>DANGARWA</t>
  </si>
  <si>
    <t>ANANDPURA PRIMARY SCHOOL</t>
  </si>
  <si>
    <t>VISATPURA</t>
  </si>
  <si>
    <t>BABAJIPURA PRIMARY SCHOOL</t>
  </si>
  <si>
    <t>KADI KUMAR SHALA - 2</t>
  </si>
  <si>
    <t>BALASAR PRIMARY SCHOOL</t>
  </si>
  <si>
    <t>BAVLU PRIMARY SCHOOL</t>
  </si>
  <si>
    <t>BHALTHI DHARAMPUR PRI SCHOOL</t>
  </si>
  <si>
    <t>MEDA ADARAJ</t>
  </si>
  <si>
    <t>BORISANA PRIMARY SCHOOL</t>
  </si>
  <si>
    <t>BUDASAN PRIMARY SCHOOL</t>
  </si>
  <si>
    <t>RAJPUR</t>
  </si>
  <si>
    <t>CHANDARADA PRIMARY SCHOOL</t>
  </si>
  <si>
    <t>CHANDRASAN PRIMARY SCHOOL</t>
  </si>
  <si>
    <t>CHAROL PRIMARY SCHOOL</t>
  </si>
  <si>
    <t>DANGARVA PRI KANYA SCHOOL</t>
  </si>
  <si>
    <t>DELLA PRIMARY SCHOOL</t>
  </si>
  <si>
    <t>DEUSANA PRIMARY SCHOOL</t>
  </si>
  <si>
    <t>DHORIYA PRIMARY SCHOOL</t>
  </si>
  <si>
    <t>KADI KANYA SHALA - 4</t>
  </si>
  <si>
    <t>DUDHAI PRIMARY SCHOOL</t>
  </si>
  <si>
    <t>FULETRA PRIMARY SCHOOL</t>
  </si>
  <si>
    <t>NAVAPURA (NA)</t>
  </si>
  <si>
    <t>GANESHPURA PRIMARY SCHOOL</t>
  </si>
  <si>
    <t>GHUMASAN PRIMARY SCHOOL</t>
  </si>
  <si>
    <t>INDRAD PRIMARY SCHOOL</t>
  </si>
  <si>
    <t>IRANA PRIMARY SCHOOL</t>
  </si>
  <si>
    <t>JASALPUR PRIMARY SCHOOL</t>
  </si>
  <si>
    <t>JETPURA PRIMARY SCHOOL</t>
  </si>
  <si>
    <t>KAIYAL PRIMARY SCHOOL</t>
  </si>
  <si>
    <t>KALYANPURA</t>
  </si>
  <si>
    <t>KALYANPURA PRIMARY SCHOOL</t>
  </si>
  <si>
    <t>KANAJARI PRIMARY SCHOOL</t>
  </si>
  <si>
    <t>KARANNAGAR PRIMARY SCHOOL</t>
  </si>
  <si>
    <t>KARJISAN ADARSH PRI SCHOOL</t>
  </si>
  <si>
    <t>KARSHANPURA PRIMARY SCHOOL</t>
  </si>
  <si>
    <t>KASVA PRIMARY SCHOOL</t>
  </si>
  <si>
    <t>KUNDAL PRIMARY SCHOOL</t>
  </si>
  <si>
    <t>DARAN</t>
  </si>
  <si>
    <t>KHAVAD PRIMARY SCHOOL</t>
  </si>
  <si>
    <t>KHERPUR PRIMARY SCHOOL</t>
  </si>
  <si>
    <t>KOLAD PRIMARY SCHOOL</t>
  </si>
  <si>
    <t>LAXMIPURA (KADI) PRI SCHOOL</t>
  </si>
  <si>
    <t>LAXMIPURA (NAND) PRI SCHOOL</t>
  </si>
  <si>
    <t>LHOR PRIMARY SCHOOL</t>
  </si>
  <si>
    <t>LUNASAN PRIMARY SCHOOL</t>
  </si>
  <si>
    <t>MANIPUR PRIMARY SCHOOL</t>
  </si>
  <si>
    <t>MATHASUR PRIMARY SCHOOL</t>
  </si>
  <si>
    <t>MEDA ADARAJ PAY CENTER SCH</t>
  </si>
  <si>
    <t>MEDHA PRIMARY SCHOOL</t>
  </si>
  <si>
    <t>MOKASAN PRIMARY SCHOOL</t>
  </si>
  <si>
    <t>NADAN PRIMARY SCHOOL</t>
  </si>
  <si>
    <t>NAGARASAN PRIMARY SCHOOL</t>
  </si>
  <si>
    <t>NANDASAN PRIMARY KUMAR SCH</t>
  </si>
  <si>
    <t>NANDASAN PRIMARY KANYA SCH</t>
  </si>
  <si>
    <t>NANI KADI PRIMARY SCHOOL</t>
  </si>
  <si>
    <t>NAROLA PRIMARY SCHOOL</t>
  </si>
  <si>
    <t>KADI KUMAR SHALA - 3</t>
  </si>
  <si>
    <t>NARSIHNPURA PRIMARY SCHOOL</t>
  </si>
  <si>
    <t>NAVAPURA (NANDASAN) PRI SCH</t>
  </si>
  <si>
    <t>PALLI PRIMARY SCHOOL</t>
  </si>
  <si>
    <t>PANTHODA PRIMARY SCHOOL</t>
  </si>
  <si>
    <t>PIROJPUR PRIMARY SCHOOL</t>
  </si>
  <si>
    <t>BHAMARIYAPURA (R) PRI SCHOOL</t>
  </si>
  <si>
    <t>RAJPUR HIGHWAY PRI SCHOOL</t>
  </si>
  <si>
    <t>RANGPURDA PRIMARY SCHOOL</t>
  </si>
  <si>
    <t>SADRA PRIMARY SCHOOL</t>
  </si>
  <si>
    <t>SARSAV PRIMARY SCHOOL</t>
  </si>
  <si>
    <t>SEDARANA PRIMARY SCHOOL</t>
  </si>
  <si>
    <t>SHIYAPURA PRIMARY SCHOOL</t>
  </si>
  <si>
    <t>TANKIYA PRIMARY SCHOOL</t>
  </si>
  <si>
    <t>THOL PAY CENTER SCHOOL</t>
  </si>
  <si>
    <t>INDIRANAGAR (THOL) PRI SCHOOL</t>
  </si>
  <si>
    <t>UMANAGAR (NA) PRIMARY SCHOOL</t>
  </si>
  <si>
    <t>UNTAVA ANUPAM PRIMARY SCHOOL</t>
  </si>
  <si>
    <t>VADAVI PRIMARY SCHOOL</t>
  </si>
  <si>
    <t>VADU PRIMARY SCHOOL</t>
  </si>
  <si>
    <t>VAGHARODA PRIMARY SCHOOL</t>
  </si>
  <si>
    <t>VAMAJ PRIMARY SCHOOL</t>
  </si>
  <si>
    <t>VANASOL PRIMARY SCHOOL</t>
  </si>
  <si>
    <t>VARKHADIYA PRIMARY SCHOOL</t>
  </si>
  <si>
    <t>VEKRA ANUPAM PRI SCHOOL</t>
  </si>
  <si>
    <t>VIDAJ PRIMARY SCHOOL</t>
  </si>
  <si>
    <t>VISHALPUR PRIMARY SCHOOL</t>
  </si>
  <si>
    <t>ZALODA PRIMARY SCHOOL</t>
  </si>
  <si>
    <t>ZULASAN PRIMARY SCHOOL</t>
  </si>
  <si>
    <t>HARIPURA PRIMARY SCHOOL</t>
  </si>
  <si>
    <t>N</t>
  </si>
  <si>
    <t>DEVGADH PRIMARY SCHOOL</t>
  </si>
  <si>
    <t>RAJPUR PRIMARY SCHOOL</t>
  </si>
  <si>
    <t>RANCHHODPURA PRIMARY SCH</t>
  </si>
  <si>
    <t>ALUSANA PRIMARY SCHOOL</t>
  </si>
  <si>
    <t>AMARNAGAR PRIMARY SCHOOL</t>
  </si>
  <si>
    <t>AMBAVPURA PRIMARY SCHOOL</t>
  </si>
  <si>
    <t>BALASAR COLONY PRI SCHOOL</t>
  </si>
  <si>
    <t>RAMGADH (B) PRIMARY SCHOOL</t>
  </si>
  <si>
    <t>BAPAIYARA PRIMARY SCHOOL</t>
  </si>
  <si>
    <t>CHANDANPURA PRIMARY SCH</t>
  </si>
  <si>
    <t>DARAN PRIMARY SCHOOL</t>
  </si>
  <si>
    <t>DARAN MORVA PRIMARY SCHOOL</t>
  </si>
  <si>
    <t>DHARPURA PRIMARY SCHOOL</t>
  </si>
  <si>
    <t>FATEHPURA PRIMARY SCHOOL</t>
  </si>
  <si>
    <t>GALODARA PRIMARY SCHOOL</t>
  </si>
  <si>
    <t>GOVINDPURA PRIMARY SCHOOL</t>
  </si>
  <si>
    <t>ISHWARPURA PRIMARY SCHOOL</t>
  </si>
  <si>
    <t>JADAVPURA PRI SCHOOL - 1</t>
  </si>
  <si>
    <t>JAMIYATPURA PRIMARY SCHOOL</t>
  </si>
  <si>
    <t>JAYDEVPURA PRIMARY SCHOOL</t>
  </si>
  <si>
    <t>JESANGPURA PRIMARY SCHOOL</t>
  </si>
  <si>
    <t>KAMALAPURA PRIMARY SCHOOL</t>
  </si>
  <si>
    <t>KHANDMORVA PRI SCHOOL</t>
  </si>
  <si>
    <t>KORADA PRIMARY SCHOOL</t>
  </si>
  <si>
    <t>GHUGHALA PRI.SCHOOL</t>
  </si>
  <si>
    <t>LAXMANPURA PRIMARY SCHOOL</t>
  </si>
  <si>
    <t>MAHARAJPURA PRIMARY SCHOOL</t>
  </si>
  <si>
    <t>CHAREDI PRI.SCHOOL</t>
  </si>
  <si>
    <t>MERDA PRIMARY SCHOOL</t>
  </si>
  <si>
    <t>NANDASAN NAVIN MIX SCHOOL - 3</t>
  </si>
  <si>
    <t>NANDOLIA PRIMARY SCHOOL</t>
  </si>
  <si>
    <t>ROZAPURI PRIMARY SCHOOL</t>
  </si>
  <si>
    <t>SEDARADI PRIMARY SCHOOL</t>
  </si>
  <si>
    <t>SEDFA PRIMARY SCHOOL</t>
  </si>
  <si>
    <t>SONVAD PRIMARY SCHOOL</t>
  </si>
  <si>
    <t>SUJATPURA PRIMARY SCHOOL</t>
  </si>
  <si>
    <t>TARSANIA PRIMARY SCHOOL</t>
  </si>
  <si>
    <t>THADOD PRIMARY SCHOOL</t>
  </si>
  <si>
    <t>VADPURA PRIMARY SCHOOL</t>
  </si>
  <si>
    <t>VINAYAKPURA PRIMARY SCHOOL</t>
  </si>
  <si>
    <t>VISATPURA PAY CENTER SCHOOL</t>
  </si>
  <si>
    <t>YASHVANTPURA PRI SCHOOL</t>
  </si>
  <si>
    <t>KADI PAY CENTER SCHOOL - 2</t>
  </si>
  <si>
    <t>KADI TALUKA PRIMARY SCH - 1</t>
  </si>
  <si>
    <t>ADARSH GANDHI SMARAK KANYA SCH</t>
  </si>
  <si>
    <t>KADI KUMAR SCHOOL NO-3</t>
  </si>
  <si>
    <t>RAJIVNAGAR PRIMARY SCHOOL</t>
  </si>
  <si>
    <t>VALAVADI PRIMARY SCHOOL</t>
  </si>
  <si>
    <t>DANGARVA  PRI KUMAR SCHOOL</t>
  </si>
  <si>
    <t>KHANDERAVPURA PAY CENTER  SCH</t>
  </si>
  <si>
    <t>SchCat</t>
  </si>
  <si>
    <t>SchoolCategory</t>
  </si>
  <si>
    <t>Upper Primary with grades 1 to 8</t>
  </si>
  <si>
    <t>Primary only with grades 1 to 5</t>
  </si>
  <si>
    <t>SAT</t>
  </si>
  <si>
    <t>TotalStudent</t>
  </si>
  <si>
    <t>Present_St</t>
  </si>
  <si>
    <t>Absent_St</t>
  </si>
  <si>
    <t>Per_0_40</t>
  </si>
  <si>
    <t>Per_40_60</t>
  </si>
  <si>
    <t>Per_60_80</t>
  </si>
  <si>
    <t>Per_80</t>
  </si>
  <si>
    <t>% Absent Students</t>
  </si>
  <si>
    <t>% Students &lt;40</t>
  </si>
  <si>
    <t>% Students 40 to 80 %</t>
  </si>
  <si>
    <t>% Students &gt;80 %</t>
  </si>
  <si>
    <t>% Students 40 to 60 %</t>
  </si>
  <si>
    <t>First Sem</t>
  </si>
  <si>
    <t>Last Sem</t>
  </si>
  <si>
    <t>% Students 60 to 80 %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</si>
</sst>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5"/>
  <sheetViews>
    <sheetView tabSelected="1" workbookViewId="0">
      <pane ySplit="1" topLeftCell="A2" activePane="bottomLeft" state="frozen"/>
      <selection pane="bottomLeft" activeCell="V2" sqref="V2:V135"/>
    </sheetView>
  </sheetViews>
  <sheetFormatPr defaultRowHeight="14.4" x14ac:dyDescent="0.3"/>
  <cols>
    <col min="1" max="1" width="11.6640625" bestFit="1" customWidth="1"/>
    <col min="2" max="2" width="9" bestFit="1" customWidth="1"/>
    <col min="3" max="3" width="11.33203125" bestFit="1" customWidth="1"/>
    <col min="4" max="4" width="7.44140625" bestFit="1" customWidth="1"/>
    <col min="5" max="5" width="11.44140625" bestFit="1" customWidth="1"/>
    <col min="6" max="6" width="11" bestFit="1" customWidth="1"/>
    <col min="7" max="7" width="21.44140625" bestFit="1" customWidth="1"/>
    <col min="8" max="8" width="12" bestFit="1" customWidth="1"/>
    <col min="9" max="9" width="42.6640625" customWidth="1"/>
    <col min="10" max="10" width="7.44140625" bestFit="1" customWidth="1"/>
    <col min="11" max="11" width="12.6640625" bestFit="1" customWidth="1"/>
    <col min="12" max="12" width="6.88671875" bestFit="1" customWidth="1"/>
    <col min="13" max="13" width="34.6640625" bestFit="1" customWidth="1"/>
    <col min="14" max="14" width="8.109375" bestFit="1" customWidth="1"/>
    <col min="15" max="15" width="12.44140625" bestFit="1" customWidth="1"/>
    <col min="16" max="16" width="10.5546875" bestFit="1" customWidth="1"/>
    <col min="17" max="17" width="10" bestFit="1" customWidth="1"/>
    <col min="18" max="18" width="9" bestFit="1" customWidth="1"/>
    <col min="19" max="20" width="10" bestFit="1" customWidth="1"/>
    <col min="21" max="21" width="7" bestFit="1" customWidth="1"/>
    <col min="22" max="22" width="17.88671875" bestFit="1" customWidth="1"/>
    <col min="23" max="23" width="14.44140625" bestFit="1" customWidth="1"/>
    <col min="24" max="24" width="20.33203125" bestFit="1" customWidth="1"/>
    <col min="25" max="25" width="16.44140625" bestFit="1" customWidth="1"/>
    <col min="26" max="26" width="20.33203125" bestFit="1" customWidth="1"/>
  </cols>
  <sheetData>
    <row r="1" spans="1:26" s="4" customFormat="1" x14ac:dyDescent="0.3">
      <c r="A1" s="3" t="s">
        <v>168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0</v>
      </c>
      <c r="I1" s="3" t="s">
        <v>7</v>
      </c>
      <c r="J1" s="3" t="s">
        <v>8</v>
      </c>
      <c r="K1" s="3" t="s">
        <v>9</v>
      </c>
      <c r="L1" s="3" t="s">
        <v>164</v>
      </c>
      <c r="M1" s="3" t="s">
        <v>165</v>
      </c>
      <c r="N1" s="3" t="s">
        <v>10</v>
      </c>
      <c r="O1" s="3" t="s">
        <v>169</v>
      </c>
      <c r="P1" s="3" t="s">
        <v>170</v>
      </c>
      <c r="Q1" s="3" t="s">
        <v>171</v>
      </c>
      <c r="R1" s="3" t="s">
        <v>172</v>
      </c>
      <c r="S1" s="3" t="s">
        <v>173</v>
      </c>
      <c r="T1" s="3" t="s">
        <v>174</v>
      </c>
      <c r="U1" s="3" t="s">
        <v>175</v>
      </c>
      <c r="V1" s="3" t="s">
        <v>176</v>
      </c>
      <c r="W1" s="3" t="s">
        <v>177</v>
      </c>
      <c r="X1" s="3" t="s">
        <v>183</v>
      </c>
      <c r="Y1" s="3" t="s">
        <v>179</v>
      </c>
      <c r="Z1" s="3" t="s">
        <v>180</v>
      </c>
    </row>
    <row r="2" spans="1:26" x14ac:dyDescent="0.3">
      <c r="A2" s="2" t="s">
        <v>181</v>
      </c>
      <c r="B2" s="1">
        <v>2404</v>
      </c>
      <c r="C2" s="2" t="s">
        <v>11</v>
      </c>
      <c r="D2" s="1">
        <v>240402</v>
      </c>
      <c r="E2" s="2" t="s">
        <v>15</v>
      </c>
      <c r="F2" s="1">
        <v>2404020007</v>
      </c>
      <c r="G2" s="2" t="s">
        <v>16</v>
      </c>
      <c r="H2" s="1">
        <v>24040200201</v>
      </c>
      <c r="I2" s="2" t="s">
        <v>17</v>
      </c>
      <c r="J2" s="1">
        <v>3</v>
      </c>
      <c r="K2" s="2" t="s">
        <v>12</v>
      </c>
      <c r="L2" s="1">
        <v>2</v>
      </c>
      <c r="M2" s="2" t="s">
        <v>166</v>
      </c>
      <c r="N2" s="2" t="s">
        <v>13</v>
      </c>
      <c r="O2" s="1">
        <v>251</v>
      </c>
      <c r="P2" s="1">
        <v>251</v>
      </c>
      <c r="Q2" s="1">
        <v>0</v>
      </c>
      <c r="R2" s="1">
        <v>162</v>
      </c>
      <c r="S2" s="1">
        <v>41</v>
      </c>
      <c r="T2" s="1">
        <v>36</v>
      </c>
      <c r="U2" s="1">
        <v>12</v>
      </c>
      <c r="V2" s="2">
        <f t="shared" ref="V2:V65" si="0">Q2/P2</f>
        <v>0</v>
      </c>
      <c r="W2" s="2">
        <f>R2/P2*100</f>
        <v>64.541832669322702</v>
      </c>
      <c r="X2" s="2">
        <f>T2/P2*100</f>
        <v>14.342629482071715</v>
      </c>
      <c r="Y2" s="2">
        <f>U2/P2*100</f>
        <v>4.7808764940239046</v>
      </c>
      <c r="Z2" s="2">
        <f>S2/P2*100</f>
        <v>16.334661354581673</v>
      </c>
    </row>
    <row r="3" spans="1:26" x14ac:dyDescent="0.3">
      <c r="A3" s="2" t="s">
        <v>181</v>
      </c>
      <c r="B3" s="1">
        <v>2404</v>
      </c>
      <c r="C3" s="2" t="s">
        <v>11</v>
      </c>
      <c r="D3" s="1">
        <v>240402</v>
      </c>
      <c r="E3" s="2" t="s">
        <v>15</v>
      </c>
      <c r="F3" s="1">
        <v>2404020008</v>
      </c>
      <c r="G3" s="2" t="s">
        <v>18</v>
      </c>
      <c r="H3" s="1">
        <v>24040200301</v>
      </c>
      <c r="I3" s="2" t="s">
        <v>19</v>
      </c>
      <c r="J3" s="1">
        <v>3</v>
      </c>
      <c r="K3" s="2" t="s">
        <v>12</v>
      </c>
      <c r="L3" s="1">
        <v>2</v>
      </c>
      <c r="M3" s="2" t="s">
        <v>166</v>
      </c>
      <c r="N3" s="2" t="s">
        <v>13</v>
      </c>
      <c r="O3" s="1">
        <v>206</v>
      </c>
      <c r="P3" s="1">
        <v>206</v>
      </c>
      <c r="Q3" s="1">
        <v>0</v>
      </c>
      <c r="R3" s="1">
        <v>120</v>
      </c>
      <c r="S3" s="1">
        <v>28</v>
      </c>
      <c r="T3" s="1">
        <v>37</v>
      </c>
      <c r="U3" s="1">
        <v>21</v>
      </c>
      <c r="V3" s="2">
        <f t="shared" si="0"/>
        <v>0</v>
      </c>
      <c r="W3" s="2">
        <f t="shared" ref="W3:W66" si="1">R3/P3*100</f>
        <v>58.252427184466015</v>
      </c>
      <c r="X3" s="2">
        <f t="shared" ref="X3:X66" si="2">T3/P3*100</f>
        <v>17.961165048543691</v>
      </c>
      <c r="Y3" s="2">
        <f t="shared" ref="Y3:Y66" si="3">U3/P3*100</f>
        <v>10.194174757281553</v>
      </c>
      <c r="Z3" s="2">
        <f t="shared" ref="Z3:Z66" si="4">S3/P3*100</f>
        <v>13.592233009708737</v>
      </c>
    </row>
    <row r="4" spans="1:26" x14ac:dyDescent="0.3">
      <c r="A4" s="2" t="s">
        <v>181</v>
      </c>
      <c r="B4" s="1">
        <v>2404</v>
      </c>
      <c r="C4" s="2" t="s">
        <v>11</v>
      </c>
      <c r="D4" s="1">
        <v>240402</v>
      </c>
      <c r="E4" s="2" t="s">
        <v>15</v>
      </c>
      <c r="F4" s="1">
        <v>2404020001</v>
      </c>
      <c r="G4" s="2" t="s">
        <v>26</v>
      </c>
      <c r="H4" s="1">
        <v>24040201101</v>
      </c>
      <c r="I4" s="2" t="s">
        <v>27</v>
      </c>
      <c r="J4" s="1">
        <v>3</v>
      </c>
      <c r="K4" s="2" t="s">
        <v>12</v>
      </c>
      <c r="L4" s="1">
        <v>2</v>
      </c>
      <c r="M4" s="2" t="s">
        <v>166</v>
      </c>
      <c r="N4" s="2" t="s">
        <v>13</v>
      </c>
      <c r="O4" s="1">
        <v>121</v>
      </c>
      <c r="P4" s="1">
        <v>121</v>
      </c>
      <c r="Q4" s="1">
        <v>0</v>
      </c>
      <c r="R4" s="1">
        <v>67</v>
      </c>
      <c r="S4" s="1">
        <v>28</v>
      </c>
      <c r="T4" s="1">
        <v>24</v>
      </c>
      <c r="U4" s="1">
        <v>2</v>
      </c>
      <c r="V4" s="2">
        <f t="shared" si="0"/>
        <v>0</v>
      </c>
      <c r="W4" s="2">
        <f t="shared" si="1"/>
        <v>55.371900826446286</v>
      </c>
      <c r="X4" s="2">
        <f t="shared" si="2"/>
        <v>19.834710743801654</v>
      </c>
      <c r="Y4" s="2">
        <f t="shared" si="3"/>
        <v>1.6528925619834711</v>
      </c>
      <c r="Z4" s="2">
        <f t="shared" si="4"/>
        <v>23.140495867768596</v>
      </c>
    </row>
    <row r="5" spans="1:26" x14ac:dyDescent="0.3">
      <c r="A5" s="2" t="s">
        <v>181</v>
      </c>
      <c r="B5" s="1">
        <v>2404</v>
      </c>
      <c r="C5" s="2" t="s">
        <v>11</v>
      </c>
      <c r="D5" s="1">
        <v>240402</v>
      </c>
      <c r="E5" s="2" t="s">
        <v>15</v>
      </c>
      <c r="F5" s="1">
        <v>2404020014</v>
      </c>
      <c r="G5" s="2" t="s">
        <v>28</v>
      </c>
      <c r="H5" s="1">
        <v>24040202601</v>
      </c>
      <c r="I5" s="2" t="s">
        <v>40</v>
      </c>
      <c r="J5" s="1">
        <v>3</v>
      </c>
      <c r="K5" s="2" t="s">
        <v>12</v>
      </c>
      <c r="L5" s="1">
        <v>2</v>
      </c>
      <c r="M5" s="2" t="s">
        <v>166</v>
      </c>
      <c r="N5" s="2" t="s">
        <v>13</v>
      </c>
      <c r="O5" s="1">
        <v>147</v>
      </c>
      <c r="P5" s="1">
        <v>147</v>
      </c>
      <c r="Q5" s="1">
        <v>0</v>
      </c>
      <c r="R5" s="1">
        <v>48</v>
      </c>
      <c r="S5" s="1">
        <v>47</v>
      </c>
      <c r="T5" s="1">
        <v>39</v>
      </c>
      <c r="U5" s="1">
        <v>13</v>
      </c>
      <c r="V5" s="2">
        <f t="shared" si="0"/>
        <v>0</v>
      </c>
      <c r="W5" s="2">
        <f t="shared" si="1"/>
        <v>32.653061224489797</v>
      </c>
      <c r="X5" s="2">
        <f t="shared" si="2"/>
        <v>26.530612244897959</v>
      </c>
      <c r="Y5" s="2">
        <f t="shared" si="3"/>
        <v>8.8435374149659864</v>
      </c>
      <c r="Z5" s="2">
        <f t="shared" si="4"/>
        <v>31.972789115646261</v>
      </c>
    </row>
    <row r="6" spans="1:26" x14ac:dyDescent="0.3">
      <c r="A6" s="2" t="s">
        <v>181</v>
      </c>
      <c r="B6" s="1">
        <v>2404</v>
      </c>
      <c r="C6" s="2" t="s">
        <v>11</v>
      </c>
      <c r="D6" s="1">
        <v>240402</v>
      </c>
      <c r="E6" s="2" t="s">
        <v>15</v>
      </c>
      <c r="F6" s="1">
        <v>2404020001</v>
      </c>
      <c r="G6" s="2" t="s">
        <v>26</v>
      </c>
      <c r="H6" s="1">
        <v>24040202801</v>
      </c>
      <c r="I6" s="2" t="s">
        <v>162</v>
      </c>
      <c r="J6" s="1">
        <v>3</v>
      </c>
      <c r="K6" s="2" t="s">
        <v>12</v>
      </c>
      <c r="L6" s="1">
        <v>2</v>
      </c>
      <c r="M6" s="2" t="s">
        <v>166</v>
      </c>
      <c r="N6" s="2" t="s">
        <v>13</v>
      </c>
      <c r="O6" s="1">
        <v>141</v>
      </c>
      <c r="P6" s="1">
        <v>141</v>
      </c>
      <c r="Q6" s="1">
        <v>0</v>
      </c>
      <c r="R6" s="1">
        <v>74</v>
      </c>
      <c r="S6" s="1">
        <v>21</v>
      </c>
      <c r="T6" s="1">
        <v>42</v>
      </c>
      <c r="U6" s="1">
        <v>4</v>
      </c>
      <c r="V6" s="2">
        <f t="shared" si="0"/>
        <v>0</v>
      </c>
      <c r="W6" s="2">
        <f t="shared" si="1"/>
        <v>52.4822695035461</v>
      </c>
      <c r="X6" s="2">
        <f t="shared" si="2"/>
        <v>29.787234042553191</v>
      </c>
      <c r="Y6" s="2">
        <f t="shared" si="3"/>
        <v>2.8368794326241136</v>
      </c>
      <c r="Z6" s="2">
        <f t="shared" si="4"/>
        <v>14.893617021276595</v>
      </c>
    </row>
    <row r="7" spans="1:26" x14ac:dyDescent="0.3">
      <c r="A7" s="2" t="s">
        <v>181</v>
      </c>
      <c r="B7" s="1">
        <v>2404</v>
      </c>
      <c r="C7" s="2" t="s">
        <v>11</v>
      </c>
      <c r="D7" s="1">
        <v>240402</v>
      </c>
      <c r="E7" s="2" t="s">
        <v>15</v>
      </c>
      <c r="F7" s="1">
        <v>2404020010</v>
      </c>
      <c r="G7" s="2" t="s">
        <v>20</v>
      </c>
      <c r="H7" s="1">
        <v>24040203101</v>
      </c>
      <c r="I7" s="2" t="s">
        <v>42</v>
      </c>
      <c r="J7" s="1">
        <v>3</v>
      </c>
      <c r="K7" s="2" t="s">
        <v>12</v>
      </c>
      <c r="L7" s="1">
        <v>2</v>
      </c>
      <c r="M7" s="2" t="s">
        <v>166</v>
      </c>
      <c r="N7" s="2" t="s">
        <v>13</v>
      </c>
      <c r="O7" s="1">
        <v>179</v>
      </c>
      <c r="P7" s="1">
        <v>179</v>
      </c>
      <c r="Q7" s="1">
        <v>0</v>
      </c>
      <c r="R7" s="1">
        <v>65</v>
      </c>
      <c r="S7" s="1">
        <v>61</v>
      </c>
      <c r="T7" s="1">
        <v>45</v>
      </c>
      <c r="U7" s="1">
        <v>8</v>
      </c>
      <c r="V7" s="2">
        <f t="shared" si="0"/>
        <v>0</v>
      </c>
      <c r="W7" s="2">
        <f t="shared" si="1"/>
        <v>36.312849162011176</v>
      </c>
      <c r="X7" s="2">
        <f t="shared" si="2"/>
        <v>25.139664804469277</v>
      </c>
      <c r="Y7" s="2">
        <f t="shared" si="3"/>
        <v>4.4692737430167595</v>
      </c>
      <c r="Z7" s="2">
        <f t="shared" si="4"/>
        <v>34.07821229050279</v>
      </c>
    </row>
    <row r="8" spans="1:26" x14ac:dyDescent="0.3">
      <c r="A8" s="2" t="s">
        <v>181</v>
      </c>
      <c r="B8" s="1">
        <v>2404</v>
      </c>
      <c r="C8" s="2" t="s">
        <v>11</v>
      </c>
      <c r="D8" s="1">
        <v>240402</v>
      </c>
      <c r="E8" s="2" t="s">
        <v>15</v>
      </c>
      <c r="F8" s="1">
        <v>2404020014</v>
      </c>
      <c r="G8" s="2" t="s">
        <v>28</v>
      </c>
      <c r="H8" s="1">
        <v>24040203801</v>
      </c>
      <c r="I8" s="2" t="s">
        <v>44</v>
      </c>
      <c r="J8" s="1">
        <v>3</v>
      </c>
      <c r="K8" s="2" t="s">
        <v>12</v>
      </c>
      <c r="L8" s="1">
        <v>2</v>
      </c>
      <c r="M8" s="2" t="s">
        <v>166</v>
      </c>
      <c r="N8" s="2" t="s">
        <v>13</v>
      </c>
      <c r="O8" s="1">
        <v>125</v>
      </c>
      <c r="P8" s="1">
        <v>125</v>
      </c>
      <c r="Q8" s="1">
        <v>0</v>
      </c>
      <c r="R8" s="1">
        <v>42</v>
      </c>
      <c r="S8" s="1">
        <v>36</v>
      </c>
      <c r="T8" s="1">
        <v>45</v>
      </c>
      <c r="U8" s="1">
        <v>2</v>
      </c>
      <c r="V8" s="2">
        <f t="shared" si="0"/>
        <v>0</v>
      </c>
      <c r="W8" s="2">
        <f t="shared" si="1"/>
        <v>33.6</v>
      </c>
      <c r="X8" s="2">
        <f t="shared" si="2"/>
        <v>36</v>
      </c>
      <c r="Y8" s="2">
        <f t="shared" si="3"/>
        <v>1.6</v>
      </c>
      <c r="Z8" s="2">
        <f t="shared" si="4"/>
        <v>28.799999999999997</v>
      </c>
    </row>
    <row r="9" spans="1:26" x14ac:dyDescent="0.3">
      <c r="A9" s="2" t="s">
        <v>181</v>
      </c>
      <c r="B9" s="1">
        <v>2404</v>
      </c>
      <c r="C9" s="2" t="s">
        <v>11</v>
      </c>
      <c r="D9" s="1">
        <v>240402</v>
      </c>
      <c r="E9" s="2" t="s">
        <v>15</v>
      </c>
      <c r="F9" s="1">
        <v>2404020003</v>
      </c>
      <c r="G9" s="2" t="s">
        <v>45</v>
      </c>
      <c r="H9" s="1">
        <v>24040204001</v>
      </c>
      <c r="I9" s="2" t="s">
        <v>46</v>
      </c>
      <c r="J9" s="1">
        <v>3</v>
      </c>
      <c r="K9" s="2" t="s">
        <v>12</v>
      </c>
      <c r="L9" s="1">
        <v>2</v>
      </c>
      <c r="M9" s="2" t="s">
        <v>166</v>
      </c>
      <c r="N9" s="2" t="s">
        <v>13</v>
      </c>
      <c r="O9" s="1">
        <v>121</v>
      </c>
      <c r="P9" s="1">
        <v>121</v>
      </c>
      <c r="Q9" s="1">
        <v>0</v>
      </c>
      <c r="R9" s="1">
        <v>60</v>
      </c>
      <c r="S9" s="1">
        <v>37</v>
      </c>
      <c r="T9" s="1">
        <v>18</v>
      </c>
      <c r="U9" s="1">
        <v>6</v>
      </c>
      <c r="V9" s="2">
        <f t="shared" si="0"/>
        <v>0</v>
      </c>
      <c r="W9" s="2">
        <f t="shared" si="1"/>
        <v>49.586776859504134</v>
      </c>
      <c r="X9" s="2">
        <f t="shared" si="2"/>
        <v>14.87603305785124</v>
      </c>
      <c r="Y9" s="2">
        <f t="shared" si="3"/>
        <v>4.9586776859504136</v>
      </c>
      <c r="Z9" s="2">
        <f t="shared" si="4"/>
        <v>30.578512396694212</v>
      </c>
    </row>
    <row r="10" spans="1:26" x14ac:dyDescent="0.3">
      <c r="A10" s="2" t="s">
        <v>181</v>
      </c>
      <c r="B10" s="1">
        <v>2404</v>
      </c>
      <c r="C10" s="2" t="s">
        <v>11</v>
      </c>
      <c r="D10" s="1">
        <v>240402</v>
      </c>
      <c r="E10" s="2" t="s">
        <v>15</v>
      </c>
      <c r="F10" s="1">
        <v>2404020011</v>
      </c>
      <c r="G10" s="2" t="s">
        <v>48</v>
      </c>
      <c r="H10" s="1">
        <v>24040204401</v>
      </c>
      <c r="I10" s="2" t="s">
        <v>49</v>
      </c>
      <c r="J10" s="1">
        <v>3</v>
      </c>
      <c r="K10" s="2" t="s">
        <v>12</v>
      </c>
      <c r="L10" s="1">
        <v>2</v>
      </c>
      <c r="M10" s="2" t="s">
        <v>166</v>
      </c>
      <c r="N10" s="2" t="s">
        <v>13</v>
      </c>
      <c r="O10" s="1">
        <v>167</v>
      </c>
      <c r="P10" s="1">
        <v>167</v>
      </c>
      <c r="Q10" s="1">
        <v>0</v>
      </c>
      <c r="R10" s="1">
        <v>72</v>
      </c>
      <c r="S10" s="1">
        <v>38</v>
      </c>
      <c r="T10" s="1">
        <v>37</v>
      </c>
      <c r="U10" s="1">
        <v>20</v>
      </c>
      <c r="V10" s="2">
        <f t="shared" si="0"/>
        <v>0</v>
      </c>
      <c r="W10" s="2">
        <f t="shared" si="1"/>
        <v>43.113772455089823</v>
      </c>
      <c r="X10" s="2">
        <f t="shared" si="2"/>
        <v>22.155688622754489</v>
      </c>
      <c r="Y10" s="2">
        <f t="shared" si="3"/>
        <v>11.976047904191617</v>
      </c>
      <c r="Z10" s="2">
        <f t="shared" si="4"/>
        <v>22.754491017964071</v>
      </c>
    </row>
    <row r="11" spans="1:26" x14ac:dyDescent="0.3">
      <c r="A11" s="2" t="s">
        <v>181</v>
      </c>
      <c r="B11" s="1">
        <v>2404</v>
      </c>
      <c r="C11" s="2" t="s">
        <v>11</v>
      </c>
      <c r="D11" s="1">
        <v>240402</v>
      </c>
      <c r="E11" s="2" t="s">
        <v>15</v>
      </c>
      <c r="F11" s="1">
        <v>2404020011</v>
      </c>
      <c r="G11" s="2" t="s">
        <v>48</v>
      </c>
      <c r="H11" s="1">
        <v>24040206701</v>
      </c>
      <c r="I11" s="2" t="s">
        <v>55</v>
      </c>
      <c r="J11" s="1">
        <v>3</v>
      </c>
      <c r="K11" s="2" t="s">
        <v>12</v>
      </c>
      <c r="L11" s="1">
        <v>2</v>
      </c>
      <c r="M11" s="2" t="s">
        <v>166</v>
      </c>
      <c r="N11" s="2" t="s">
        <v>13</v>
      </c>
      <c r="O11" s="1">
        <v>282</v>
      </c>
      <c r="P11" s="1">
        <v>282</v>
      </c>
      <c r="Q11" s="1">
        <v>0</v>
      </c>
      <c r="R11" s="1">
        <v>176</v>
      </c>
      <c r="S11" s="1">
        <v>64</v>
      </c>
      <c r="T11" s="1">
        <v>28</v>
      </c>
      <c r="U11" s="1">
        <v>14</v>
      </c>
      <c r="V11" s="2">
        <f t="shared" si="0"/>
        <v>0</v>
      </c>
      <c r="W11" s="2">
        <f t="shared" si="1"/>
        <v>62.411347517730498</v>
      </c>
      <c r="X11" s="2">
        <f t="shared" si="2"/>
        <v>9.9290780141843982</v>
      </c>
      <c r="Y11" s="2">
        <f t="shared" si="3"/>
        <v>4.9645390070921991</v>
      </c>
      <c r="Z11" s="2">
        <f t="shared" si="4"/>
        <v>22.695035460992909</v>
      </c>
    </row>
    <row r="12" spans="1:26" x14ac:dyDescent="0.3">
      <c r="A12" s="2" t="s">
        <v>181</v>
      </c>
      <c r="B12" s="1">
        <v>2404</v>
      </c>
      <c r="C12" s="2" t="s">
        <v>11</v>
      </c>
      <c r="D12" s="1">
        <v>240402</v>
      </c>
      <c r="E12" s="2" t="s">
        <v>15</v>
      </c>
      <c r="F12" s="1">
        <v>2404020010</v>
      </c>
      <c r="G12" s="2" t="s">
        <v>20</v>
      </c>
      <c r="H12" s="1">
        <v>24040207001</v>
      </c>
      <c r="I12" s="2" t="s">
        <v>58</v>
      </c>
      <c r="J12" s="1">
        <v>3</v>
      </c>
      <c r="K12" s="2" t="s">
        <v>12</v>
      </c>
      <c r="L12" s="1">
        <v>2</v>
      </c>
      <c r="M12" s="2" t="s">
        <v>166</v>
      </c>
      <c r="N12" s="2" t="s">
        <v>13</v>
      </c>
      <c r="O12" s="1">
        <v>181</v>
      </c>
      <c r="P12" s="1">
        <v>181</v>
      </c>
      <c r="Q12" s="1">
        <v>0</v>
      </c>
      <c r="R12" s="1">
        <v>118</v>
      </c>
      <c r="S12" s="1">
        <v>40</v>
      </c>
      <c r="T12" s="1">
        <v>20</v>
      </c>
      <c r="U12" s="1">
        <v>3</v>
      </c>
      <c r="V12" s="2">
        <f t="shared" si="0"/>
        <v>0</v>
      </c>
      <c r="W12" s="2">
        <f t="shared" si="1"/>
        <v>65.193370165745861</v>
      </c>
      <c r="X12" s="2">
        <f t="shared" si="2"/>
        <v>11.049723756906078</v>
      </c>
      <c r="Y12" s="2">
        <f t="shared" si="3"/>
        <v>1.6574585635359116</v>
      </c>
      <c r="Z12" s="2">
        <f t="shared" si="4"/>
        <v>22.099447513812155</v>
      </c>
    </row>
    <row r="13" spans="1:26" x14ac:dyDescent="0.3">
      <c r="A13" s="2" t="s">
        <v>181</v>
      </c>
      <c r="B13" s="1">
        <v>2404</v>
      </c>
      <c r="C13" s="2" t="s">
        <v>11</v>
      </c>
      <c r="D13" s="1">
        <v>240402</v>
      </c>
      <c r="E13" s="2" t="s">
        <v>15</v>
      </c>
      <c r="F13" s="1">
        <v>2404020009</v>
      </c>
      <c r="G13" s="2" t="s">
        <v>34</v>
      </c>
      <c r="H13" s="1">
        <v>24040207301</v>
      </c>
      <c r="I13" s="2" t="s">
        <v>61</v>
      </c>
      <c r="J13" s="1">
        <v>3</v>
      </c>
      <c r="K13" s="2" t="s">
        <v>12</v>
      </c>
      <c r="L13" s="1">
        <v>2</v>
      </c>
      <c r="M13" s="2" t="s">
        <v>166</v>
      </c>
      <c r="N13" s="2" t="s">
        <v>13</v>
      </c>
      <c r="O13" s="1">
        <v>104</v>
      </c>
      <c r="P13" s="1">
        <v>104</v>
      </c>
      <c r="Q13" s="1">
        <v>0</v>
      </c>
      <c r="R13" s="1">
        <v>2</v>
      </c>
      <c r="S13" s="1">
        <v>21</v>
      </c>
      <c r="T13" s="1">
        <v>45</v>
      </c>
      <c r="U13" s="1">
        <v>36</v>
      </c>
      <c r="V13" s="2">
        <f t="shared" si="0"/>
        <v>0</v>
      </c>
      <c r="W13" s="2">
        <f t="shared" si="1"/>
        <v>1.9230769230769231</v>
      </c>
      <c r="X13" s="2">
        <f t="shared" si="2"/>
        <v>43.269230769230774</v>
      </c>
      <c r="Y13" s="2">
        <f t="shared" si="3"/>
        <v>34.615384615384613</v>
      </c>
      <c r="Z13" s="2">
        <f t="shared" si="4"/>
        <v>20.192307692307693</v>
      </c>
    </row>
    <row r="14" spans="1:26" x14ac:dyDescent="0.3">
      <c r="A14" s="2" t="s">
        <v>181</v>
      </c>
      <c r="B14" s="1">
        <v>2404</v>
      </c>
      <c r="C14" s="2" t="s">
        <v>11</v>
      </c>
      <c r="D14" s="1">
        <v>240402</v>
      </c>
      <c r="E14" s="2" t="s">
        <v>15</v>
      </c>
      <c r="F14" s="1">
        <v>2404020002</v>
      </c>
      <c r="G14" s="2" t="s">
        <v>64</v>
      </c>
      <c r="H14" s="1">
        <v>24040208001</v>
      </c>
      <c r="I14" s="2" t="s">
        <v>67</v>
      </c>
      <c r="J14" s="1">
        <v>3</v>
      </c>
      <c r="K14" s="2" t="s">
        <v>12</v>
      </c>
      <c r="L14" s="1">
        <v>2</v>
      </c>
      <c r="M14" s="2" t="s">
        <v>166</v>
      </c>
      <c r="N14" s="2" t="s">
        <v>13</v>
      </c>
      <c r="O14" s="1">
        <v>113</v>
      </c>
      <c r="P14" s="1">
        <v>113</v>
      </c>
      <c r="Q14" s="1">
        <v>0</v>
      </c>
      <c r="R14" s="1">
        <v>36</v>
      </c>
      <c r="S14" s="1">
        <v>40</v>
      </c>
      <c r="T14" s="1">
        <v>31</v>
      </c>
      <c r="U14" s="1">
        <v>6</v>
      </c>
      <c r="V14" s="2">
        <f t="shared" si="0"/>
        <v>0</v>
      </c>
      <c r="W14" s="2">
        <f t="shared" si="1"/>
        <v>31.858407079646017</v>
      </c>
      <c r="X14" s="2">
        <f t="shared" si="2"/>
        <v>27.43362831858407</v>
      </c>
      <c r="Y14" s="2">
        <f t="shared" si="3"/>
        <v>5.3097345132743365</v>
      </c>
      <c r="Z14" s="2">
        <f t="shared" si="4"/>
        <v>35.398230088495573</v>
      </c>
    </row>
    <row r="15" spans="1:26" x14ac:dyDescent="0.3">
      <c r="A15" s="2" t="s">
        <v>181</v>
      </c>
      <c r="B15" s="1">
        <v>2404</v>
      </c>
      <c r="C15" s="2" t="s">
        <v>11</v>
      </c>
      <c r="D15" s="1">
        <v>240402</v>
      </c>
      <c r="E15" s="2" t="s">
        <v>15</v>
      </c>
      <c r="F15" s="1">
        <v>2404020010</v>
      </c>
      <c r="G15" s="2" t="s">
        <v>20</v>
      </c>
      <c r="H15" s="1">
        <v>24040209101</v>
      </c>
      <c r="I15" s="2" t="s">
        <v>75</v>
      </c>
      <c r="J15" s="1">
        <v>3</v>
      </c>
      <c r="K15" s="2" t="s">
        <v>12</v>
      </c>
      <c r="L15" s="1">
        <v>2</v>
      </c>
      <c r="M15" s="2" t="s">
        <v>166</v>
      </c>
      <c r="N15" s="2" t="s">
        <v>13</v>
      </c>
      <c r="O15" s="1">
        <v>102</v>
      </c>
      <c r="P15" s="1">
        <v>102</v>
      </c>
      <c r="Q15" s="1">
        <v>0</v>
      </c>
      <c r="R15" s="1">
        <v>30</v>
      </c>
      <c r="S15" s="1">
        <v>25</v>
      </c>
      <c r="T15" s="1">
        <v>32</v>
      </c>
      <c r="U15" s="1">
        <v>15</v>
      </c>
      <c r="V15" s="2">
        <f t="shared" si="0"/>
        <v>0</v>
      </c>
      <c r="W15" s="2">
        <f t="shared" si="1"/>
        <v>29.411764705882355</v>
      </c>
      <c r="X15" s="2">
        <f t="shared" si="2"/>
        <v>31.372549019607842</v>
      </c>
      <c r="Y15" s="2">
        <f t="shared" si="3"/>
        <v>14.705882352941178</v>
      </c>
      <c r="Z15" s="2">
        <f t="shared" si="4"/>
        <v>24.509803921568626</v>
      </c>
    </row>
    <row r="16" spans="1:26" x14ac:dyDescent="0.3">
      <c r="A16" s="2" t="s">
        <v>181</v>
      </c>
      <c r="B16" s="1">
        <v>2404</v>
      </c>
      <c r="C16" s="2" t="s">
        <v>11</v>
      </c>
      <c r="D16" s="1">
        <v>240402</v>
      </c>
      <c r="E16" s="2" t="s">
        <v>15</v>
      </c>
      <c r="F16" s="1">
        <v>2404020010</v>
      </c>
      <c r="G16" s="2" t="s">
        <v>20</v>
      </c>
      <c r="H16" s="1">
        <v>24040209501</v>
      </c>
      <c r="I16" s="2" t="s">
        <v>77</v>
      </c>
      <c r="J16" s="1">
        <v>3</v>
      </c>
      <c r="K16" s="2" t="s">
        <v>12</v>
      </c>
      <c r="L16" s="1">
        <v>2</v>
      </c>
      <c r="M16" s="2" t="s">
        <v>166</v>
      </c>
      <c r="N16" s="2" t="s">
        <v>13</v>
      </c>
      <c r="O16" s="1">
        <v>139</v>
      </c>
      <c r="P16" s="1">
        <v>139</v>
      </c>
      <c r="Q16" s="1">
        <v>0</v>
      </c>
      <c r="R16" s="1">
        <v>73</v>
      </c>
      <c r="S16" s="1">
        <v>33</v>
      </c>
      <c r="T16" s="1">
        <v>27</v>
      </c>
      <c r="U16" s="1">
        <v>6</v>
      </c>
      <c r="V16" s="2">
        <f t="shared" si="0"/>
        <v>0</v>
      </c>
      <c r="W16" s="2">
        <f t="shared" si="1"/>
        <v>52.517985611510788</v>
      </c>
      <c r="X16" s="2">
        <f t="shared" si="2"/>
        <v>19.424460431654676</v>
      </c>
      <c r="Y16" s="2">
        <f t="shared" si="3"/>
        <v>4.3165467625899279</v>
      </c>
      <c r="Z16" s="2">
        <f t="shared" si="4"/>
        <v>23.741007194244602</v>
      </c>
    </row>
    <row r="17" spans="1:26" x14ac:dyDescent="0.3">
      <c r="A17" s="2" t="s">
        <v>181</v>
      </c>
      <c r="B17" s="1">
        <v>2404</v>
      </c>
      <c r="C17" s="2" t="s">
        <v>11</v>
      </c>
      <c r="D17" s="1">
        <v>240402</v>
      </c>
      <c r="E17" s="2" t="s">
        <v>15</v>
      </c>
      <c r="F17" s="1">
        <v>2404020008</v>
      </c>
      <c r="G17" s="2" t="s">
        <v>18</v>
      </c>
      <c r="H17" s="1">
        <v>24040209601</v>
      </c>
      <c r="I17" s="2" t="s">
        <v>78</v>
      </c>
      <c r="J17" s="1">
        <v>3</v>
      </c>
      <c r="K17" s="2" t="s">
        <v>12</v>
      </c>
      <c r="L17" s="1">
        <v>2</v>
      </c>
      <c r="M17" s="2" t="s">
        <v>166</v>
      </c>
      <c r="N17" s="2" t="s">
        <v>13</v>
      </c>
      <c r="O17" s="1">
        <v>115</v>
      </c>
      <c r="P17" s="1">
        <v>115</v>
      </c>
      <c r="Q17" s="1">
        <v>0</v>
      </c>
      <c r="R17" s="1">
        <v>102</v>
      </c>
      <c r="S17" s="1">
        <v>0</v>
      </c>
      <c r="T17" s="1">
        <v>10</v>
      </c>
      <c r="U17" s="1">
        <v>3</v>
      </c>
      <c r="V17" s="2">
        <f t="shared" si="0"/>
        <v>0</v>
      </c>
      <c r="W17" s="2">
        <f t="shared" si="1"/>
        <v>88.695652173913047</v>
      </c>
      <c r="X17" s="2">
        <f t="shared" si="2"/>
        <v>8.695652173913043</v>
      </c>
      <c r="Y17" s="2">
        <f t="shared" si="3"/>
        <v>2.6086956521739131</v>
      </c>
      <c r="Z17" s="2">
        <f t="shared" si="4"/>
        <v>0</v>
      </c>
    </row>
    <row r="18" spans="1:26" x14ac:dyDescent="0.3">
      <c r="A18" s="2" t="s">
        <v>181</v>
      </c>
      <c r="B18" s="1">
        <v>2404</v>
      </c>
      <c r="C18" s="2" t="s">
        <v>11</v>
      </c>
      <c r="D18" s="1">
        <v>240402</v>
      </c>
      <c r="E18" s="2" t="s">
        <v>15</v>
      </c>
      <c r="F18" s="1">
        <v>2404020011</v>
      </c>
      <c r="G18" s="2" t="s">
        <v>48</v>
      </c>
      <c r="H18" s="1">
        <v>24040209701</v>
      </c>
      <c r="I18" s="2" t="s">
        <v>79</v>
      </c>
      <c r="J18" s="1">
        <v>3</v>
      </c>
      <c r="K18" s="2" t="s">
        <v>12</v>
      </c>
      <c r="L18" s="1">
        <v>2</v>
      </c>
      <c r="M18" s="2" t="s">
        <v>166</v>
      </c>
      <c r="N18" s="2" t="s">
        <v>13</v>
      </c>
      <c r="O18" s="1">
        <v>270</v>
      </c>
      <c r="P18" s="1">
        <v>270</v>
      </c>
      <c r="Q18" s="1">
        <v>0</v>
      </c>
      <c r="R18" s="1">
        <v>114</v>
      </c>
      <c r="S18" s="1">
        <v>79</v>
      </c>
      <c r="T18" s="1">
        <v>76</v>
      </c>
      <c r="U18" s="1">
        <v>1</v>
      </c>
      <c r="V18" s="2">
        <f t="shared" si="0"/>
        <v>0</v>
      </c>
      <c r="W18" s="2">
        <f t="shared" si="1"/>
        <v>42.222222222222221</v>
      </c>
      <c r="X18" s="2">
        <f t="shared" si="2"/>
        <v>28.148148148148149</v>
      </c>
      <c r="Y18" s="2">
        <f t="shared" si="3"/>
        <v>0.37037037037037041</v>
      </c>
      <c r="Z18" s="2">
        <f t="shared" si="4"/>
        <v>29.259259259259256</v>
      </c>
    </row>
    <row r="19" spans="1:26" x14ac:dyDescent="0.3">
      <c r="A19" s="2" t="s">
        <v>181</v>
      </c>
      <c r="B19" s="1">
        <v>2404</v>
      </c>
      <c r="C19" s="2" t="s">
        <v>11</v>
      </c>
      <c r="D19" s="1">
        <v>240402</v>
      </c>
      <c r="E19" s="2" t="s">
        <v>15</v>
      </c>
      <c r="F19" s="1">
        <v>2404020001</v>
      </c>
      <c r="G19" s="2" t="s">
        <v>26</v>
      </c>
      <c r="H19" s="1">
        <v>24040210101</v>
      </c>
      <c r="I19" s="2" t="s">
        <v>82</v>
      </c>
      <c r="J19" s="1">
        <v>3</v>
      </c>
      <c r="K19" s="2" t="s">
        <v>12</v>
      </c>
      <c r="L19" s="1">
        <v>2</v>
      </c>
      <c r="M19" s="2" t="s">
        <v>166</v>
      </c>
      <c r="N19" s="2" t="s">
        <v>13</v>
      </c>
      <c r="O19" s="1">
        <v>250</v>
      </c>
      <c r="P19" s="1">
        <v>250</v>
      </c>
      <c r="Q19" s="1">
        <v>0</v>
      </c>
      <c r="R19" s="1">
        <v>141</v>
      </c>
      <c r="S19" s="1">
        <v>60</v>
      </c>
      <c r="T19" s="1">
        <v>39</v>
      </c>
      <c r="U19" s="1">
        <v>10</v>
      </c>
      <c r="V19" s="2">
        <f t="shared" si="0"/>
        <v>0</v>
      </c>
      <c r="W19" s="2">
        <f t="shared" si="1"/>
        <v>56.399999999999991</v>
      </c>
      <c r="X19" s="2">
        <f t="shared" si="2"/>
        <v>15.6</v>
      </c>
      <c r="Y19" s="2">
        <f t="shared" si="3"/>
        <v>4</v>
      </c>
      <c r="Z19" s="2">
        <f t="shared" si="4"/>
        <v>24</v>
      </c>
    </row>
    <row r="20" spans="1:26" x14ac:dyDescent="0.3">
      <c r="A20" s="2" t="s">
        <v>181</v>
      </c>
      <c r="B20" s="1">
        <v>2404</v>
      </c>
      <c r="C20" s="2" t="s">
        <v>11</v>
      </c>
      <c r="D20" s="1">
        <v>240402</v>
      </c>
      <c r="E20" s="2" t="s">
        <v>15</v>
      </c>
      <c r="F20" s="1">
        <v>2404020010</v>
      </c>
      <c r="G20" s="2" t="s">
        <v>20</v>
      </c>
      <c r="H20" s="1">
        <v>24040210601</v>
      </c>
      <c r="I20" s="2" t="s">
        <v>87</v>
      </c>
      <c r="J20" s="1">
        <v>3</v>
      </c>
      <c r="K20" s="2" t="s">
        <v>12</v>
      </c>
      <c r="L20" s="1">
        <v>2</v>
      </c>
      <c r="M20" s="2" t="s">
        <v>166</v>
      </c>
      <c r="N20" s="2" t="s">
        <v>13</v>
      </c>
      <c r="O20" s="1">
        <v>384</v>
      </c>
      <c r="P20" s="1">
        <v>384</v>
      </c>
      <c r="Q20" s="1">
        <v>0</v>
      </c>
      <c r="R20" s="1">
        <v>146</v>
      </c>
      <c r="S20" s="1">
        <v>128</v>
      </c>
      <c r="T20" s="1">
        <v>95</v>
      </c>
      <c r="U20" s="1">
        <v>15</v>
      </c>
      <c r="V20" s="2">
        <f t="shared" si="0"/>
        <v>0</v>
      </c>
      <c r="W20" s="2">
        <f t="shared" si="1"/>
        <v>38.020833333333329</v>
      </c>
      <c r="X20" s="2">
        <f t="shared" si="2"/>
        <v>24.739583333333336</v>
      </c>
      <c r="Y20" s="2">
        <f t="shared" si="3"/>
        <v>3.90625</v>
      </c>
      <c r="Z20" s="2">
        <f t="shared" si="4"/>
        <v>33.333333333333329</v>
      </c>
    </row>
    <row r="21" spans="1:26" x14ac:dyDescent="0.3">
      <c r="A21" s="2" t="s">
        <v>181</v>
      </c>
      <c r="B21" s="1">
        <v>2404</v>
      </c>
      <c r="C21" s="2" t="s">
        <v>11</v>
      </c>
      <c r="D21" s="1">
        <v>240402</v>
      </c>
      <c r="E21" s="2" t="s">
        <v>15</v>
      </c>
      <c r="F21" s="1">
        <v>2404020014</v>
      </c>
      <c r="G21" s="2" t="s">
        <v>28</v>
      </c>
      <c r="H21" s="1">
        <v>24040211501</v>
      </c>
      <c r="I21" s="2" t="s">
        <v>94</v>
      </c>
      <c r="J21" s="1">
        <v>3</v>
      </c>
      <c r="K21" s="2" t="s">
        <v>12</v>
      </c>
      <c r="L21" s="1">
        <v>2</v>
      </c>
      <c r="M21" s="2" t="s">
        <v>166</v>
      </c>
      <c r="N21" s="2" t="s">
        <v>13</v>
      </c>
      <c r="O21" s="1">
        <v>106</v>
      </c>
      <c r="P21" s="1">
        <v>106</v>
      </c>
      <c r="Q21" s="1">
        <v>0</v>
      </c>
      <c r="R21" s="1">
        <v>18</v>
      </c>
      <c r="S21" s="1">
        <v>13</v>
      </c>
      <c r="T21" s="1">
        <v>55</v>
      </c>
      <c r="U21" s="1">
        <v>20</v>
      </c>
      <c r="V21" s="2">
        <f t="shared" si="0"/>
        <v>0</v>
      </c>
      <c r="W21" s="2">
        <f t="shared" si="1"/>
        <v>16.981132075471699</v>
      </c>
      <c r="X21" s="2">
        <f t="shared" si="2"/>
        <v>51.886792452830186</v>
      </c>
      <c r="Y21" s="2">
        <f t="shared" si="3"/>
        <v>18.867924528301888</v>
      </c>
      <c r="Z21" s="2">
        <f t="shared" si="4"/>
        <v>12.264150943396226</v>
      </c>
    </row>
    <row r="22" spans="1:26" x14ac:dyDescent="0.3">
      <c r="A22" s="2" t="s">
        <v>181</v>
      </c>
      <c r="B22" s="1">
        <v>2404</v>
      </c>
      <c r="C22" s="2" t="s">
        <v>11</v>
      </c>
      <c r="D22" s="1">
        <v>240402</v>
      </c>
      <c r="E22" s="2" t="s">
        <v>15</v>
      </c>
      <c r="F22" s="1">
        <v>2404020003</v>
      </c>
      <c r="G22" s="2" t="s">
        <v>45</v>
      </c>
      <c r="H22" s="1">
        <v>24040211701</v>
      </c>
      <c r="I22" s="2" t="s">
        <v>95</v>
      </c>
      <c r="J22" s="1">
        <v>3</v>
      </c>
      <c r="K22" s="2" t="s">
        <v>12</v>
      </c>
      <c r="L22" s="1">
        <v>2</v>
      </c>
      <c r="M22" s="2" t="s">
        <v>166</v>
      </c>
      <c r="N22" s="2" t="s">
        <v>13</v>
      </c>
      <c r="O22" s="1">
        <v>93</v>
      </c>
      <c r="P22" s="1">
        <v>93</v>
      </c>
      <c r="Q22" s="1">
        <v>0</v>
      </c>
      <c r="R22" s="1">
        <v>10</v>
      </c>
      <c r="S22" s="1">
        <v>34</v>
      </c>
      <c r="T22" s="1">
        <v>35</v>
      </c>
      <c r="U22" s="1">
        <v>14</v>
      </c>
      <c r="V22" s="2">
        <f t="shared" si="0"/>
        <v>0</v>
      </c>
      <c r="W22" s="2">
        <f t="shared" si="1"/>
        <v>10.75268817204301</v>
      </c>
      <c r="X22" s="2">
        <f t="shared" si="2"/>
        <v>37.634408602150536</v>
      </c>
      <c r="Y22" s="2">
        <f t="shared" si="3"/>
        <v>15.053763440860216</v>
      </c>
      <c r="Z22" s="2">
        <f t="shared" si="4"/>
        <v>36.55913978494624</v>
      </c>
    </row>
    <row r="23" spans="1:26" x14ac:dyDescent="0.3">
      <c r="A23" s="2" t="s">
        <v>181</v>
      </c>
      <c r="B23" s="1">
        <v>2404</v>
      </c>
      <c r="C23" s="2" t="s">
        <v>11</v>
      </c>
      <c r="D23" s="1">
        <v>240402</v>
      </c>
      <c r="E23" s="2" t="s">
        <v>15</v>
      </c>
      <c r="F23" s="1">
        <v>2404020001</v>
      </c>
      <c r="G23" s="2" t="s">
        <v>26</v>
      </c>
      <c r="H23" s="1">
        <v>24040212101</v>
      </c>
      <c r="I23" s="2" t="s">
        <v>96</v>
      </c>
      <c r="J23" s="1">
        <v>3</v>
      </c>
      <c r="K23" s="2" t="s">
        <v>12</v>
      </c>
      <c r="L23" s="1">
        <v>2</v>
      </c>
      <c r="M23" s="2" t="s">
        <v>166</v>
      </c>
      <c r="N23" s="2" t="s">
        <v>13</v>
      </c>
      <c r="O23" s="1">
        <v>145</v>
      </c>
      <c r="P23" s="1">
        <v>145</v>
      </c>
      <c r="Q23" s="1">
        <v>0</v>
      </c>
      <c r="R23" s="1">
        <v>46</v>
      </c>
      <c r="S23" s="1">
        <v>46</v>
      </c>
      <c r="T23" s="1">
        <v>39</v>
      </c>
      <c r="U23" s="1">
        <v>14</v>
      </c>
      <c r="V23" s="2">
        <f t="shared" si="0"/>
        <v>0</v>
      </c>
      <c r="W23" s="2">
        <f t="shared" si="1"/>
        <v>31.724137931034484</v>
      </c>
      <c r="X23" s="2">
        <f t="shared" si="2"/>
        <v>26.896551724137929</v>
      </c>
      <c r="Y23" s="2">
        <f t="shared" si="3"/>
        <v>9.6551724137931032</v>
      </c>
      <c r="Z23" s="2">
        <f t="shared" si="4"/>
        <v>31.724137931034484</v>
      </c>
    </row>
    <row r="24" spans="1:26" x14ac:dyDescent="0.3">
      <c r="A24" s="2" t="s">
        <v>181</v>
      </c>
      <c r="B24" s="1">
        <v>2404</v>
      </c>
      <c r="C24" s="2" t="s">
        <v>11</v>
      </c>
      <c r="D24" s="1">
        <v>240402</v>
      </c>
      <c r="E24" s="2" t="s">
        <v>15</v>
      </c>
      <c r="F24" s="1">
        <v>2404020006</v>
      </c>
      <c r="G24" s="2" t="s">
        <v>56</v>
      </c>
      <c r="H24" s="1">
        <v>24040213101</v>
      </c>
      <c r="I24" s="2" t="s">
        <v>103</v>
      </c>
      <c r="J24" s="1">
        <v>3</v>
      </c>
      <c r="K24" s="2" t="s">
        <v>12</v>
      </c>
      <c r="L24" s="1">
        <v>2</v>
      </c>
      <c r="M24" s="2" t="s">
        <v>166</v>
      </c>
      <c r="N24" s="2" t="s">
        <v>13</v>
      </c>
      <c r="O24" s="1">
        <v>154</v>
      </c>
      <c r="P24" s="1">
        <v>154</v>
      </c>
      <c r="Q24" s="1">
        <v>0</v>
      </c>
      <c r="R24" s="1">
        <v>65</v>
      </c>
      <c r="S24" s="1">
        <v>47</v>
      </c>
      <c r="T24" s="1">
        <v>37</v>
      </c>
      <c r="U24" s="1">
        <v>5</v>
      </c>
      <c r="V24" s="2">
        <f t="shared" si="0"/>
        <v>0</v>
      </c>
      <c r="W24" s="2">
        <f t="shared" si="1"/>
        <v>42.207792207792203</v>
      </c>
      <c r="X24" s="2">
        <f t="shared" si="2"/>
        <v>24.025974025974026</v>
      </c>
      <c r="Y24" s="2">
        <f t="shared" si="3"/>
        <v>3.2467532467532463</v>
      </c>
      <c r="Z24" s="2">
        <f t="shared" si="4"/>
        <v>30.519480519480517</v>
      </c>
    </row>
    <row r="25" spans="1:26" x14ac:dyDescent="0.3">
      <c r="A25" s="2" t="s">
        <v>181</v>
      </c>
      <c r="B25" s="1">
        <v>2404</v>
      </c>
      <c r="C25" s="2" t="s">
        <v>11</v>
      </c>
      <c r="D25" s="1">
        <v>240402</v>
      </c>
      <c r="E25" s="2" t="s">
        <v>15</v>
      </c>
      <c r="F25" s="1">
        <v>2404020009</v>
      </c>
      <c r="G25" s="2" t="s">
        <v>34</v>
      </c>
      <c r="H25" s="1">
        <v>24040213401</v>
      </c>
      <c r="I25" s="2" t="s">
        <v>105</v>
      </c>
      <c r="J25" s="1">
        <v>3</v>
      </c>
      <c r="K25" s="2" t="s">
        <v>12</v>
      </c>
      <c r="L25" s="1">
        <v>2</v>
      </c>
      <c r="M25" s="2" t="s">
        <v>166</v>
      </c>
      <c r="N25" s="2" t="s">
        <v>13</v>
      </c>
      <c r="O25" s="1">
        <v>239</v>
      </c>
      <c r="P25" s="1">
        <v>239</v>
      </c>
      <c r="Q25" s="1">
        <v>0</v>
      </c>
      <c r="R25" s="1">
        <v>101</v>
      </c>
      <c r="S25" s="1">
        <v>61</v>
      </c>
      <c r="T25" s="1">
        <v>54</v>
      </c>
      <c r="U25" s="1">
        <v>23</v>
      </c>
      <c r="V25" s="2">
        <f t="shared" si="0"/>
        <v>0</v>
      </c>
      <c r="W25" s="2">
        <f t="shared" si="1"/>
        <v>42.25941422594142</v>
      </c>
      <c r="X25" s="2">
        <f t="shared" si="2"/>
        <v>22.594142259414227</v>
      </c>
      <c r="Y25" s="2">
        <f t="shared" si="3"/>
        <v>9.6234309623430967</v>
      </c>
      <c r="Z25" s="2">
        <f t="shared" si="4"/>
        <v>25.523012552301257</v>
      </c>
    </row>
    <row r="26" spans="1:26" x14ac:dyDescent="0.3">
      <c r="A26" s="2" t="s">
        <v>181</v>
      </c>
      <c r="B26" s="1">
        <v>2404</v>
      </c>
      <c r="C26" s="2" t="s">
        <v>11</v>
      </c>
      <c r="D26" s="1">
        <v>240402</v>
      </c>
      <c r="E26" s="2" t="s">
        <v>15</v>
      </c>
      <c r="F26" s="1">
        <v>2404020008</v>
      </c>
      <c r="G26" s="2" t="s">
        <v>18</v>
      </c>
      <c r="H26" s="1">
        <v>24040213901</v>
      </c>
      <c r="I26" s="2" t="s">
        <v>109</v>
      </c>
      <c r="J26" s="1">
        <v>3</v>
      </c>
      <c r="K26" s="2" t="s">
        <v>12</v>
      </c>
      <c r="L26" s="1">
        <v>2</v>
      </c>
      <c r="M26" s="2" t="s">
        <v>166</v>
      </c>
      <c r="N26" s="2" t="s">
        <v>13</v>
      </c>
      <c r="O26" s="1">
        <v>134</v>
      </c>
      <c r="P26" s="1">
        <v>134</v>
      </c>
      <c r="Q26" s="1">
        <v>0</v>
      </c>
      <c r="R26" s="1">
        <v>74</v>
      </c>
      <c r="S26" s="1">
        <v>34</v>
      </c>
      <c r="T26" s="1">
        <v>19</v>
      </c>
      <c r="U26" s="1">
        <v>7</v>
      </c>
      <c r="V26" s="2">
        <f t="shared" si="0"/>
        <v>0</v>
      </c>
      <c r="W26" s="2">
        <f t="shared" si="1"/>
        <v>55.223880597014926</v>
      </c>
      <c r="X26" s="2">
        <f t="shared" si="2"/>
        <v>14.17910447761194</v>
      </c>
      <c r="Y26" s="2">
        <f t="shared" si="3"/>
        <v>5.2238805970149249</v>
      </c>
      <c r="Z26" s="2">
        <f t="shared" si="4"/>
        <v>25.373134328358208</v>
      </c>
    </row>
    <row r="27" spans="1:26" x14ac:dyDescent="0.3">
      <c r="A27" s="2" t="s">
        <v>181</v>
      </c>
      <c r="B27" s="1">
        <v>2404</v>
      </c>
      <c r="C27" s="2" t="s">
        <v>11</v>
      </c>
      <c r="D27" s="1">
        <v>240402</v>
      </c>
      <c r="E27" s="2" t="s">
        <v>15</v>
      </c>
      <c r="F27" s="1">
        <v>2404020006</v>
      </c>
      <c r="G27" s="2" t="s">
        <v>56</v>
      </c>
      <c r="H27" s="1">
        <v>24040204101</v>
      </c>
      <c r="I27" s="2" t="s">
        <v>127</v>
      </c>
      <c r="J27" s="1">
        <v>3</v>
      </c>
      <c r="K27" s="2" t="s">
        <v>12</v>
      </c>
      <c r="L27" s="1">
        <v>2</v>
      </c>
      <c r="M27" s="2" t="s">
        <v>166</v>
      </c>
      <c r="N27" s="2" t="s">
        <v>113</v>
      </c>
      <c r="O27" s="1">
        <v>37</v>
      </c>
      <c r="P27" s="1">
        <v>37</v>
      </c>
      <c r="Q27" s="1">
        <v>0</v>
      </c>
      <c r="R27" s="1">
        <v>8</v>
      </c>
      <c r="S27" s="1">
        <v>7</v>
      </c>
      <c r="T27" s="1">
        <v>13</v>
      </c>
      <c r="U27" s="1">
        <v>9</v>
      </c>
      <c r="V27" s="2">
        <f t="shared" si="0"/>
        <v>0</v>
      </c>
      <c r="W27" s="2">
        <f t="shared" si="1"/>
        <v>21.621621621621621</v>
      </c>
      <c r="X27" s="2">
        <f t="shared" si="2"/>
        <v>35.135135135135137</v>
      </c>
      <c r="Y27" s="2">
        <f t="shared" si="3"/>
        <v>24.324324324324326</v>
      </c>
      <c r="Z27" s="2">
        <f t="shared" si="4"/>
        <v>18.918918918918919</v>
      </c>
    </row>
    <row r="28" spans="1:26" x14ac:dyDescent="0.3">
      <c r="A28" s="2" t="s">
        <v>181</v>
      </c>
      <c r="B28" s="1">
        <v>2404</v>
      </c>
      <c r="C28" s="2" t="s">
        <v>11</v>
      </c>
      <c r="D28" s="1">
        <v>240402</v>
      </c>
      <c r="E28" s="2" t="s">
        <v>15</v>
      </c>
      <c r="F28" s="1">
        <v>2404020014</v>
      </c>
      <c r="G28" s="2" t="s">
        <v>28</v>
      </c>
      <c r="H28" s="1">
        <v>24040204301</v>
      </c>
      <c r="I28" s="2" t="s">
        <v>128</v>
      </c>
      <c r="J28" s="1">
        <v>3</v>
      </c>
      <c r="K28" s="2" t="s">
        <v>12</v>
      </c>
      <c r="L28" s="1">
        <v>2</v>
      </c>
      <c r="M28" s="2" t="s">
        <v>166</v>
      </c>
      <c r="N28" s="2" t="s">
        <v>113</v>
      </c>
      <c r="O28" s="1">
        <v>89</v>
      </c>
      <c r="P28" s="1">
        <v>89</v>
      </c>
      <c r="Q28" s="1">
        <v>0</v>
      </c>
      <c r="R28" s="1">
        <v>25</v>
      </c>
      <c r="S28" s="1">
        <v>39</v>
      </c>
      <c r="T28" s="1">
        <v>16</v>
      </c>
      <c r="U28" s="1">
        <v>9</v>
      </c>
      <c r="V28" s="2">
        <f t="shared" si="0"/>
        <v>0</v>
      </c>
      <c r="W28" s="2">
        <f t="shared" si="1"/>
        <v>28.08988764044944</v>
      </c>
      <c r="X28" s="2">
        <f t="shared" si="2"/>
        <v>17.977528089887642</v>
      </c>
      <c r="Y28" s="2">
        <f t="shared" si="3"/>
        <v>10.112359550561797</v>
      </c>
      <c r="Z28" s="2">
        <f t="shared" si="4"/>
        <v>43.820224719101127</v>
      </c>
    </row>
    <row r="29" spans="1:26" x14ac:dyDescent="0.3">
      <c r="A29" s="2" t="s">
        <v>181</v>
      </c>
      <c r="B29" s="1">
        <v>2404</v>
      </c>
      <c r="C29" s="2" t="s">
        <v>11</v>
      </c>
      <c r="D29" s="1">
        <v>240402</v>
      </c>
      <c r="E29" s="2" t="s">
        <v>15</v>
      </c>
      <c r="F29" s="1">
        <v>2404020006</v>
      </c>
      <c r="G29" s="2" t="s">
        <v>56</v>
      </c>
      <c r="H29" s="1">
        <v>24040205301</v>
      </c>
      <c r="I29" s="2" t="s">
        <v>132</v>
      </c>
      <c r="J29" s="1">
        <v>3</v>
      </c>
      <c r="K29" s="2" t="s">
        <v>12</v>
      </c>
      <c r="L29" s="1">
        <v>2</v>
      </c>
      <c r="M29" s="2" t="s">
        <v>166</v>
      </c>
      <c r="N29" s="2" t="s">
        <v>113</v>
      </c>
      <c r="O29" s="1">
        <v>73</v>
      </c>
      <c r="P29" s="1">
        <v>73</v>
      </c>
      <c r="Q29" s="1">
        <v>0</v>
      </c>
      <c r="R29" s="1">
        <v>7</v>
      </c>
      <c r="S29" s="1">
        <v>20</v>
      </c>
      <c r="T29" s="1">
        <v>28</v>
      </c>
      <c r="U29" s="1">
        <v>18</v>
      </c>
      <c r="V29" s="2">
        <f t="shared" si="0"/>
        <v>0</v>
      </c>
      <c r="W29" s="2">
        <f t="shared" si="1"/>
        <v>9.5890410958904102</v>
      </c>
      <c r="X29" s="2">
        <f t="shared" si="2"/>
        <v>38.356164383561641</v>
      </c>
      <c r="Y29" s="2">
        <f t="shared" si="3"/>
        <v>24.657534246575342</v>
      </c>
      <c r="Z29" s="2">
        <f t="shared" si="4"/>
        <v>27.397260273972602</v>
      </c>
    </row>
    <row r="30" spans="1:26" x14ac:dyDescent="0.3">
      <c r="A30" s="2" t="s">
        <v>181</v>
      </c>
      <c r="B30" s="1">
        <v>2404</v>
      </c>
      <c r="C30" s="2" t="s">
        <v>11</v>
      </c>
      <c r="D30" s="1">
        <v>240402</v>
      </c>
      <c r="E30" s="2" t="s">
        <v>15</v>
      </c>
      <c r="F30" s="1">
        <v>2404020010</v>
      </c>
      <c r="G30" s="2" t="s">
        <v>20</v>
      </c>
      <c r="H30" s="1">
        <v>24040205601</v>
      </c>
      <c r="I30" s="2" t="s">
        <v>134</v>
      </c>
      <c r="J30" s="1">
        <v>3</v>
      </c>
      <c r="K30" s="2" t="s">
        <v>12</v>
      </c>
      <c r="L30" s="1">
        <v>2</v>
      </c>
      <c r="M30" s="2" t="s">
        <v>166</v>
      </c>
      <c r="N30" s="2" t="s">
        <v>113</v>
      </c>
      <c r="O30" s="1">
        <v>55</v>
      </c>
      <c r="P30" s="1">
        <v>55</v>
      </c>
      <c r="Q30" s="1">
        <v>0</v>
      </c>
      <c r="R30" s="1">
        <v>9</v>
      </c>
      <c r="S30" s="1">
        <v>16</v>
      </c>
      <c r="T30" s="1">
        <v>27</v>
      </c>
      <c r="U30" s="1">
        <v>3</v>
      </c>
      <c r="V30" s="2">
        <f t="shared" si="0"/>
        <v>0</v>
      </c>
      <c r="W30" s="2">
        <f t="shared" si="1"/>
        <v>16.363636363636363</v>
      </c>
      <c r="X30" s="2">
        <f t="shared" si="2"/>
        <v>49.090909090909093</v>
      </c>
      <c r="Y30" s="2">
        <f t="shared" si="3"/>
        <v>5.4545454545454541</v>
      </c>
      <c r="Z30" s="2">
        <f t="shared" si="4"/>
        <v>29.09090909090909</v>
      </c>
    </row>
    <row r="31" spans="1:26" x14ac:dyDescent="0.3">
      <c r="A31" s="2" t="s">
        <v>181</v>
      </c>
      <c r="B31" s="1">
        <v>2404</v>
      </c>
      <c r="C31" s="2" t="s">
        <v>11</v>
      </c>
      <c r="D31" s="1">
        <v>240402</v>
      </c>
      <c r="E31" s="2" t="s">
        <v>15</v>
      </c>
      <c r="F31" s="1">
        <v>2404020014</v>
      </c>
      <c r="G31" s="2" t="s">
        <v>28</v>
      </c>
      <c r="H31" s="1">
        <v>24040206901</v>
      </c>
      <c r="I31" s="2" t="s">
        <v>135</v>
      </c>
      <c r="J31" s="1">
        <v>3</v>
      </c>
      <c r="K31" s="2" t="s">
        <v>12</v>
      </c>
      <c r="L31" s="1">
        <v>2</v>
      </c>
      <c r="M31" s="2" t="s">
        <v>166</v>
      </c>
      <c r="N31" s="2" t="s">
        <v>113</v>
      </c>
      <c r="O31" s="1">
        <v>9</v>
      </c>
      <c r="P31" s="1">
        <v>9</v>
      </c>
      <c r="Q31" s="1">
        <v>0</v>
      </c>
      <c r="R31" s="1">
        <v>0</v>
      </c>
      <c r="S31" s="1">
        <v>0</v>
      </c>
      <c r="T31" s="1">
        <v>1</v>
      </c>
      <c r="U31" s="1">
        <v>8</v>
      </c>
      <c r="V31" s="2">
        <f t="shared" si="0"/>
        <v>0</v>
      </c>
      <c r="W31" s="2">
        <f t="shared" si="1"/>
        <v>0</v>
      </c>
      <c r="X31" s="2">
        <f t="shared" si="2"/>
        <v>11.111111111111111</v>
      </c>
      <c r="Y31" s="2">
        <f t="shared" si="3"/>
        <v>88.888888888888886</v>
      </c>
      <c r="Z31" s="2">
        <f t="shared" si="4"/>
        <v>0</v>
      </c>
    </row>
    <row r="32" spans="1:26" x14ac:dyDescent="0.3">
      <c r="A32" s="2" t="s">
        <v>181</v>
      </c>
      <c r="B32" s="1">
        <v>2404</v>
      </c>
      <c r="C32" s="2" t="s">
        <v>11</v>
      </c>
      <c r="D32" s="1">
        <v>240402</v>
      </c>
      <c r="E32" s="2" t="s">
        <v>15</v>
      </c>
      <c r="F32" s="1">
        <v>2404020005</v>
      </c>
      <c r="G32" s="2" t="s">
        <v>83</v>
      </c>
      <c r="H32" s="1">
        <v>24040207601</v>
      </c>
      <c r="I32" s="2" t="s">
        <v>136</v>
      </c>
      <c r="J32" s="1">
        <v>3</v>
      </c>
      <c r="K32" s="2" t="s">
        <v>12</v>
      </c>
      <c r="L32" s="1">
        <v>2</v>
      </c>
      <c r="M32" s="2" t="s">
        <v>166</v>
      </c>
      <c r="N32" s="2" t="s">
        <v>113</v>
      </c>
      <c r="O32" s="1">
        <v>58</v>
      </c>
      <c r="P32" s="1">
        <v>58</v>
      </c>
      <c r="Q32" s="1">
        <v>0</v>
      </c>
      <c r="R32" s="1">
        <v>11</v>
      </c>
      <c r="S32" s="1">
        <v>30</v>
      </c>
      <c r="T32" s="1">
        <v>15</v>
      </c>
      <c r="U32" s="1">
        <v>2</v>
      </c>
      <c r="V32" s="2">
        <f t="shared" si="0"/>
        <v>0</v>
      </c>
      <c r="W32" s="2">
        <f t="shared" si="1"/>
        <v>18.96551724137931</v>
      </c>
      <c r="X32" s="2">
        <f t="shared" si="2"/>
        <v>25.862068965517242</v>
      </c>
      <c r="Y32" s="2">
        <f t="shared" si="3"/>
        <v>3.4482758620689653</v>
      </c>
      <c r="Z32" s="2">
        <f t="shared" si="4"/>
        <v>51.724137931034484</v>
      </c>
    </row>
    <row r="33" spans="1:26" x14ac:dyDescent="0.3">
      <c r="A33" s="2" t="s">
        <v>181</v>
      </c>
      <c r="B33" s="1">
        <v>2404</v>
      </c>
      <c r="C33" s="2" t="s">
        <v>11</v>
      </c>
      <c r="D33" s="1">
        <v>240402</v>
      </c>
      <c r="E33" s="2" t="s">
        <v>15</v>
      </c>
      <c r="F33" s="1">
        <v>2404020014</v>
      </c>
      <c r="G33" s="2" t="s">
        <v>28</v>
      </c>
      <c r="H33" s="1">
        <v>24040208701</v>
      </c>
      <c r="I33" s="2" t="s">
        <v>140</v>
      </c>
      <c r="J33" s="1">
        <v>3</v>
      </c>
      <c r="K33" s="2" t="s">
        <v>12</v>
      </c>
      <c r="L33" s="1">
        <v>2</v>
      </c>
      <c r="M33" s="2" t="s">
        <v>166</v>
      </c>
      <c r="N33" s="2" t="s">
        <v>113</v>
      </c>
      <c r="O33" s="1">
        <v>15</v>
      </c>
      <c r="P33" s="1">
        <v>15</v>
      </c>
      <c r="Q33" s="1">
        <v>0</v>
      </c>
      <c r="R33" s="1">
        <v>15</v>
      </c>
      <c r="S33" s="1">
        <v>0</v>
      </c>
      <c r="T33" s="1">
        <v>0</v>
      </c>
      <c r="U33" s="1">
        <v>0</v>
      </c>
      <c r="V33" s="2">
        <f t="shared" si="0"/>
        <v>0</v>
      </c>
      <c r="W33" s="2">
        <f t="shared" si="1"/>
        <v>100</v>
      </c>
      <c r="X33" s="2">
        <f t="shared" si="2"/>
        <v>0</v>
      </c>
      <c r="Y33" s="2">
        <f t="shared" si="3"/>
        <v>0</v>
      </c>
      <c r="Z33" s="2">
        <f t="shared" si="4"/>
        <v>0</v>
      </c>
    </row>
    <row r="34" spans="1:26" x14ac:dyDescent="0.3">
      <c r="A34" s="2" t="s">
        <v>181</v>
      </c>
      <c r="B34" s="1">
        <v>2404</v>
      </c>
      <c r="C34" s="2" t="s">
        <v>11</v>
      </c>
      <c r="D34" s="1">
        <v>240402</v>
      </c>
      <c r="E34" s="2" t="s">
        <v>15</v>
      </c>
      <c r="F34" s="1">
        <v>2404020009</v>
      </c>
      <c r="G34" s="2" t="s">
        <v>34</v>
      </c>
      <c r="H34" s="1">
        <v>24040209201</v>
      </c>
      <c r="I34" s="2" t="s">
        <v>142</v>
      </c>
      <c r="J34" s="1">
        <v>3</v>
      </c>
      <c r="K34" s="2" t="s">
        <v>12</v>
      </c>
      <c r="L34" s="1">
        <v>2</v>
      </c>
      <c r="M34" s="2" t="s">
        <v>166</v>
      </c>
      <c r="N34" s="2" t="s">
        <v>113</v>
      </c>
      <c r="O34" s="1">
        <v>27</v>
      </c>
      <c r="P34" s="1">
        <v>27</v>
      </c>
      <c r="Q34" s="1">
        <v>0</v>
      </c>
      <c r="R34" s="1">
        <v>0</v>
      </c>
      <c r="S34" s="1">
        <v>1</v>
      </c>
      <c r="T34" s="1">
        <v>10</v>
      </c>
      <c r="U34" s="1">
        <v>16</v>
      </c>
      <c r="V34" s="2">
        <f t="shared" si="0"/>
        <v>0</v>
      </c>
      <c r="W34" s="2">
        <f t="shared" si="1"/>
        <v>0</v>
      </c>
      <c r="X34" s="2">
        <f t="shared" si="2"/>
        <v>37.037037037037038</v>
      </c>
      <c r="Y34" s="2">
        <f t="shared" si="3"/>
        <v>59.259259259259252</v>
      </c>
      <c r="Z34" s="2">
        <f t="shared" si="4"/>
        <v>3.7037037037037033</v>
      </c>
    </row>
    <row r="35" spans="1:26" x14ac:dyDescent="0.3">
      <c r="A35" s="2" t="s">
        <v>181</v>
      </c>
      <c r="B35" s="1">
        <v>2404</v>
      </c>
      <c r="C35" s="2" t="s">
        <v>11</v>
      </c>
      <c r="D35" s="1">
        <v>240402</v>
      </c>
      <c r="E35" s="2" t="s">
        <v>15</v>
      </c>
      <c r="F35" s="1">
        <v>2404020002</v>
      </c>
      <c r="G35" s="2" t="s">
        <v>64</v>
      </c>
      <c r="H35" s="1">
        <v>24040209801</v>
      </c>
      <c r="I35" s="2" t="s">
        <v>144</v>
      </c>
      <c r="J35" s="1">
        <v>3</v>
      </c>
      <c r="K35" s="2" t="s">
        <v>12</v>
      </c>
      <c r="L35" s="1">
        <v>2</v>
      </c>
      <c r="M35" s="2" t="s">
        <v>166</v>
      </c>
      <c r="N35" s="2" t="s">
        <v>113</v>
      </c>
      <c r="O35" s="1">
        <v>47</v>
      </c>
      <c r="P35" s="1">
        <v>47</v>
      </c>
      <c r="Q35" s="1">
        <v>0</v>
      </c>
      <c r="R35" s="1">
        <v>7</v>
      </c>
      <c r="S35" s="1">
        <v>11</v>
      </c>
      <c r="T35" s="1">
        <v>25</v>
      </c>
      <c r="U35" s="1">
        <v>4</v>
      </c>
      <c r="V35" s="2">
        <f t="shared" si="0"/>
        <v>0</v>
      </c>
      <c r="W35" s="2">
        <f t="shared" si="1"/>
        <v>14.893617021276595</v>
      </c>
      <c r="X35" s="2">
        <f t="shared" si="2"/>
        <v>53.191489361702125</v>
      </c>
      <c r="Y35" s="2">
        <f t="shared" si="3"/>
        <v>8.5106382978723403</v>
      </c>
      <c r="Z35" s="2">
        <f t="shared" si="4"/>
        <v>23.404255319148938</v>
      </c>
    </row>
    <row r="36" spans="1:26" x14ac:dyDescent="0.3">
      <c r="A36" s="2" t="s">
        <v>181</v>
      </c>
      <c r="B36" s="1">
        <v>2404</v>
      </c>
      <c r="C36" s="2" t="s">
        <v>11</v>
      </c>
      <c r="D36" s="1">
        <v>240402</v>
      </c>
      <c r="E36" s="2" t="s">
        <v>15</v>
      </c>
      <c r="F36" s="1">
        <v>2404020002</v>
      </c>
      <c r="G36" s="2" t="s">
        <v>64</v>
      </c>
      <c r="H36" s="1">
        <v>24040211401</v>
      </c>
      <c r="I36" s="2" t="s">
        <v>146</v>
      </c>
      <c r="J36" s="1">
        <v>3</v>
      </c>
      <c r="K36" s="2" t="s">
        <v>12</v>
      </c>
      <c r="L36" s="1">
        <v>2</v>
      </c>
      <c r="M36" s="2" t="s">
        <v>166</v>
      </c>
      <c r="N36" s="2" t="s">
        <v>113</v>
      </c>
      <c r="O36" s="1">
        <v>59</v>
      </c>
      <c r="P36" s="1">
        <v>59</v>
      </c>
      <c r="Q36" s="1">
        <v>0</v>
      </c>
      <c r="R36" s="1">
        <v>41</v>
      </c>
      <c r="S36" s="1">
        <v>15</v>
      </c>
      <c r="T36" s="1">
        <v>3</v>
      </c>
      <c r="U36" s="1">
        <v>0</v>
      </c>
      <c r="V36" s="2">
        <f t="shared" si="0"/>
        <v>0</v>
      </c>
      <c r="W36" s="2">
        <f t="shared" si="1"/>
        <v>69.491525423728817</v>
      </c>
      <c r="X36" s="2">
        <f t="shared" si="2"/>
        <v>5.0847457627118651</v>
      </c>
      <c r="Y36" s="2">
        <f t="shared" si="3"/>
        <v>0</v>
      </c>
      <c r="Z36" s="2">
        <f t="shared" si="4"/>
        <v>25.423728813559322</v>
      </c>
    </row>
    <row r="37" spans="1:26" x14ac:dyDescent="0.3">
      <c r="A37" s="2" t="s">
        <v>181</v>
      </c>
      <c r="B37" s="1">
        <v>2404</v>
      </c>
      <c r="C37" s="2" t="s">
        <v>11</v>
      </c>
      <c r="D37" s="1">
        <v>240402</v>
      </c>
      <c r="E37" s="2" t="s">
        <v>15</v>
      </c>
      <c r="F37" s="1">
        <v>2404020014</v>
      </c>
      <c r="G37" s="2" t="s">
        <v>28</v>
      </c>
      <c r="H37" s="1">
        <v>24040214001</v>
      </c>
      <c r="I37" s="2" t="s">
        <v>154</v>
      </c>
      <c r="J37" s="1">
        <v>3</v>
      </c>
      <c r="K37" s="2" t="s">
        <v>12</v>
      </c>
      <c r="L37" s="1">
        <v>2</v>
      </c>
      <c r="M37" s="2" t="s">
        <v>166</v>
      </c>
      <c r="N37" s="2" t="s">
        <v>113</v>
      </c>
      <c r="O37" s="1">
        <v>75</v>
      </c>
      <c r="P37" s="1">
        <v>75</v>
      </c>
      <c r="Q37" s="1">
        <v>0</v>
      </c>
      <c r="R37" s="1">
        <v>26</v>
      </c>
      <c r="S37" s="1">
        <v>34</v>
      </c>
      <c r="T37" s="1">
        <v>15</v>
      </c>
      <c r="U37" s="1">
        <v>0</v>
      </c>
      <c r="V37" s="2">
        <f t="shared" si="0"/>
        <v>0</v>
      </c>
      <c r="W37" s="2">
        <f t="shared" si="1"/>
        <v>34.666666666666671</v>
      </c>
      <c r="X37" s="2">
        <f t="shared" si="2"/>
        <v>20</v>
      </c>
      <c r="Y37" s="2">
        <f t="shared" si="3"/>
        <v>0</v>
      </c>
      <c r="Z37" s="2">
        <f t="shared" si="4"/>
        <v>45.333333333333329</v>
      </c>
    </row>
    <row r="38" spans="1:26" x14ac:dyDescent="0.3">
      <c r="A38" s="2" t="s">
        <v>181</v>
      </c>
      <c r="B38" s="1">
        <v>2404</v>
      </c>
      <c r="C38" s="2" t="s">
        <v>11</v>
      </c>
      <c r="D38" s="1">
        <v>240402</v>
      </c>
      <c r="E38" s="2" t="s">
        <v>15</v>
      </c>
      <c r="F38" s="1">
        <v>2404020008</v>
      </c>
      <c r="G38" s="2" t="s">
        <v>18</v>
      </c>
      <c r="H38" s="1">
        <v>24040205401</v>
      </c>
      <c r="I38" s="2" t="s">
        <v>53</v>
      </c>
      <c r="J38" s="1">
        <v>3</v>
      </c>
      <c r="K38" s="2" t="s">
        <v>12</v>
      </c>
      <c r="L38" s="1">
        <v>1</v>
      </c>
      <c r="M38" s="2" t="s">
        <v>167</v>
      </c>
      <c r="N38" s="2" t="s">
        <v>13</v>
      </c>
      <c r="O38" s="1">
        <v>118</v>
      </c>
      <c r="P38" s="1">
        <v>118</v>
      </c>
      <c r="Q38" s="1">
        <v>0</v>
      </c>
      <c r="R38" s="1">
        <v>85</v>
      </c>
      <c r="S38" s="1">
        <v>27</v>
      </c>
      <c r="T38" s="1">
        <v>6</v>
      </c>
      <c r="U38" s="1">
        <v>0</v>
      </c>
      <c r="V38" s="2">
        <f t="shared" si="0"/>
        <v>0</v>
      </c>
      <c r="W38" s="2">
        <f t="shared" si="1"/>
        <v>72.033898305084747</v>
      </c>
      <c r="X38" s="2">
        <f t="shared" si="2"/>
        <v>5.0847457627118651</v>
      </c>
      <c r="Y38" s="2">
        <f t="shared" si="3"/>
        <v>0</v>
      </c>
      <c r="Z38" s="2">
        <f t="shared" si="4"/>
        <v>22.881355932203391</v>
      </c>
    </row>
    <row r="39" spans="1:26" x14ac:dyDescent="0.3">
      <c r="A39" s="2" t="s">
        <v>181</v>
      </c>
      <c r="B39" s="1">
        <v>2404</v>
      </c>
      <c r="C39" s="2" t="s">
        <v>11</v>
      </c>
      <c r="D39" s="1">
        <v>240402</v>
      </c>
      <c r="E39" s="2" t="s">
        <v>15</v>
      </c>
      <c r="F39" s="1">
        <v>2404020004</v>
      </c>
      <c r="G39" s="2" t="s">
        <v>30</v>
      </c>
      <c r="H39" s="1">
        <v>24040200601</v>
      </c>
      <c r="I39" s="2" t="s">
        <v>117</v>
      </c>
      <c r="J39" s="1">
        <v>3</v>
      </c>
      <c r="K39" s="2" t="s">
        <v>12</v>
      </c>
      <c r="L39" s="1">
        <v>1</v>
      </c>
      <c r="M39" s="2" t="s">
        <v>167</v>
      </c>
      <c r="N39" s="2" t="s">
        <v>113</v>
      </c>
      <c r="O39" s="1">
        <v>21</v>
      </c>
      <c r="P39" s="1">
        <v>21</v>
      </c>
      <c r="Q39" s="1">
        <v>0</v>
      </c>
      <c r="R39" s="1">
        <v>4</v>
      </c>
      <c r="S39" s="1">
        <v>7</v>
      </c>
      <c r="T39" s="1">
        <v>10</v>
      </c>
      <c r="U39" s="1">
        <v>0</v>
      </c>
      <c r="V39" s="2">
        <f t="shared" si="0"/>
        <v>0</v>
      </c>
      <c r="W39" s="2">
        <f t="shared" si="1"/>
        <v>19.047619047619047</v>
      </c>
      <c r="X39" s="2">
        <f t="shared" si="2"/>
        <v>47.619047619047613</v>
      </c>
      <c r="Y39" s="2">
        <f t="shared" si="3"/>
        <v>0</v>
      </c>
      <c r="Z39" s="2">
        <f t="shared" si="4"/>
        <v>33.333333333333329</v>
      </c>
    </row>
    <row r="40" spans="1:26" x14ac:dyDescent="0.3">
      <c r="A40" s="2" t="s">
        <v>181</v>
      </c>
      <c r="B40" s="1">
        <v>2404</v>
      </c>
      <c r="C40" s="2" t="s">
        <v>11</v>
      </c>
      <c r="D40" s="1">
        <v>240402</v>
      </c>
      <c r="E40" s="2" t="s">
        <v>15</v>
      </c>
      <c r="F40" s="1">
        <v>2404020006</v>
      </c>
      <c r="G40" s="2" t="s">
        <v>56</v>
      </c>
      <c r="H40" s="1">
        <v>24040200701</v>
      </c>
      <c r="I40" s="2" t="s">
        <v>118</v>
      </c>
      <c r="J40" s="1">
        <v>3</v>
      </c>
      <c r="K40" s="2" t="s">
        <v>12</v>
      </c>
      <c r="L40" s="1">
        <v>1</v>
      </c>
      <c r="M40" s="2" t="s">
        <v>167</v>
      </c>
      <c r="N40" s="2" t="s">
        <v>113</v>
      </c>
      <c r="O40" s="1">
        <v>49</v>
      </c>
      <c r="P40" s="1">
        <v>49</v>
      </c>
      <c r="Q40" s="1">
        <v>0</v>
      </c>
      <c r="R40" s="1">
        <v>2</v>
      </c>
      <c r="S40" s="1">
        <v>19</v>
      </c>
      <c r="T40" s="1">
        <v>26</v>
      </c>
      <c r="U40" s="1">
        <v>2</v>
      </c>
      <c r="V40" s="2">
        <f t="shared" si="0"/>
        <v>0</v>
      </c>
      <c r="W40" s="2">
        <f t="shared" si="1"/>
        <v>4.0816326530612246</v>
      </c>
      <c r="X40" s="2">
        <f t="shared" si="2"/>
        <v>53.061224489795919</v>
      </c>
      <c r="Y40" s="2">
        <f t="shared" si="3"/>
        <v>4.0816326530612246</v>
      </c>
      <c r="Z40" s="2">
        <f t="shared" si="4"/>
        <v>38.775510204081634</v>
      </c>
    </row>
    <row r="41" spans="1:26" x14ac:dyDescent="0.3">
      <c r="A41" s="2" t="s">
        <v>181</v>
      </c>
      <c r="B41" s="1">
        <v>2404</v>
      </c>
      <c r="C41" s="2" t="s">
        <v>11</v>
      </c>
      <c r="D41" s="1">
        <v>240402</v>
      </c>
      <c r="E41" s="2" t="s">
        <v>15</v>
      </c>
      <c r="F41" s="1">
        <v>2404020012</v>
      </c>
      <c r="G41" s="2" t="s">
        <v>37</v>
      </c>
      <c r="H41" s="1">
        <v>24040200901</v>
      </c>
      <c r="I41" s="2" t="s">
        <v>119</v>
      </c>
      <c r="J41" s="1">
        <v>3</v>
      </c>
      <c r="K41" s="2" t="s">
        <v>12</v>
      </c>
      <c r="L41" s="1">
        <v>1</v>
      </c>
      <c r="M41" s="2" t="s">
        <v>167</v>
      </c>
      <c r="N41" s="2" t="s">
        <v>113</v>
      </c>
      <c r="O41" s="1">
        <v>65</v>
      </c>
      <c r="P41" s="1">
        <v>65</v>
      </c>
      <c r="Q41" s="1">
        <v>0</v>
      </c>
      <c r="R41" s="1">
        <v>12</v>
      </c>
      <c r="S41" s="1">
        <v>9</v>
      </c>
      <c r="T41" s="1">
        <v>31</v>
      </c>
      <c r="U41" s="1">
        <v>13</v>
      </c>
      <c r="V41" s="2">
        <f t="shared" si="0"/>
        <v>0</v>
      </c>
      <c r="W41" s="2">
        <f t="shared" si="1"/>
        <v>18.461538461538463</v>
      </c>
      <c r="X41" s="2">
        <f t="shared" si="2"/>
        <v>47.692307692307693</v>
      </c>
      <c r="Y41" s="2">
        <f t="shared" si="3"/>
        <v>20</v>
      </c>
      <c r="Z41" s="2">
        <f t="shared" si="4"/>
        <v>13.846153846153847</v>
      </c>
    </row>
    <row r="42" spans="1:26" x14ac:dyDescent="0.3">
      <c r="A42" s="2" t="s">
        <v>181</v>
      </c>
      <c r="B42" s="1">
        <v>2404</v>
      </c>
      <c r="C42" s="2" t="s">
        <v>11</v>
      </c>
      <c r="D42" s="1">
        <v>240402</v>
      </c>
      <c r="E42" s="2" t="s">
        <v>15</v>
      </c>
      <c r="F42" s="1">
        <v>2404020004</v>
      </c>
      <c r="G42" s="2" t="s">
        <v>30</v>
      </c>
      <c r="H42" s="1">
        <v>24040201302</v>
      </c>
      <c r="I42" s="2" t="s">
        <v>120</v>
      </c>
      <c r="J42" s="1">
        <v>3</v>
      </c>
      <c r="K42" s="2" t="s">
        <v>12</v>
      </c>
      <c r="L42" s="1">
        <v>1</v>
      </c>
      <c r="M42" s="2" t="s">
        <v>167</v>
      </c>
      <c r="N42" s="2" t="s">
        <v>113</v>
      </c>
      <c r="O42" s="1">
        <v>13</v>
      </c>
      <c r="P42" s="1">
        <v>13</v>
      </c>
      <c r="Q42" s="1">
        <v>0</v>
      </c>
      <c r="R42" s="1">
        <v>0</v>
      </c>
      <c r="S42" s="1">
        <v>3</v>
      </c>
      <c r="T42" s="1">
        <v>9</v>
      </c>
      <c r="U42" s="1">
        <v>1</v>
      </c>
      <c r="V42" s="2">
        <f t="shared" si="0"/>
        <v>0</v>
      </c>
      <c r="W42" s="2">
        <f t="shared" si="1"/>
        <v>0</v>
      </c>
      <c r="X42" s="2">
        <f t="shared" si="2"/>
        <v>69.230769230769226</v>
      </c>
      <c r="Y42" s="2">
        <f t="shared" si="3"/>
        <v>7.6923076923076925</v>
      </c>
      <c r="Z42" s="2">
        <f t="shared" si="4"/>
        <v>23.076923076923077</v>
      </c>
    </row>
    <row r="43" spans="1:26" x14ac:dyDescent="0.3">
      <c r="A43" s="2" t="s">
        <v>181</v>
      </c>
      <c r="B43" s="1">
        <v>2404</v>
      </c>
      <c r="C43" s="2" t="s">
        <v>11</v>
      </c>
      <c r="D43" s="1">
        <v>240402</v>
      </c>
      <c r="E43" s="2" t="s">
        <v>15</v>
      </c>
      <c r="F43" s="1">
        <v>2404020013</v>
      </c>
      <c r="G43" s="2" t="s">
        <v>23</v>
      </c>
      <c r="H43" s="1">
        <v>24040201401</v>
      </c>
      <c r="I43" s="2" t="s">
        <v>122</v>
      </c>
      <c r="J43" s="1">
        <v>3</v>
      </c>
      <c r="K43" s="2" t="s">
        <v>12</v>
      </c>
      <c r="L43" s="1">
        <v>1</v>
      </c>
      <c r="M43" s="2" t="s">
        <v>167</v>
      </c>
      <c r="N43" s="2" t="s">
        <v>113</v>
      </c>
      <c r="O43" s="1">
        <v>16</v>
      </c>
      <c r="P43" s="1">
        <v>16</v>
      </c>
      <c r="Q43" s="1">
        <v>0</v>
      </c>
      <c r="R43" s="1">
        <v>5</v>
      </c>
      <c r="S43" s="1">
        <v>7</v>
      </c>
      <c r="T43" s="1">
        <v>4</v>
      </c>
      <c r="U43" s="1">
        <v>0</v>
      </c>
      <c r="V43" s="2">
        <f t="shared" si="0"/>
        <v>0</v>
      </c>
      <c r="W43" s="2">
        <f t="shared" si="1"/>
        <v>31.25</v>
      </c>
      <c r="X43" s="2">
        <f t="shared" si="2"/>
        <v>25</v>
      </c>
      <c r="Y43" s="2">
        <f t="shared" si="3"/>
        <v>0</v>
      </c>
      <c r="Z43" s="2">
        <f t="shared" si="4"/>
        <v>43.75</v>
      </c>
    </row>
    <row r="44" spans="1:26" x14ac:dyDescent="0.3">
      <c r="A44" s="2" t="s">
        <v>181</v>
      </c>
      <c r="B44" s="1">
        <v>2404</v>
      </c>
      <c r="C44" s="2" t="s">
        <v>11</v>
      </c>
      <c r="D44" s="1">
        <v>240402</v>
      </c>
      <c r="E44" s="2" t="s">
        <v>15</v>
      </c>
      <c r="F44" s="1">
        <v>2404020013</v>
      </c>
      <c r="G44" s="2" t="s">
        <v>23</v>
      </c>
      <c r="H44" s="1">
        <v>24040202301</v>
      </c>
      <c r="I44" s="2" t="s">
        <v>123</v>
      </c>
      <c r="J44" s="1">
        <v>3</v>
      </c>
      <c r="K44" s="2" t="s">
        <v>12</v>
      </c>
      <c r="L44" s="1">
        <v>1</v>
      </c>
      <c r="M44" s="2" t="s">
        <v>167</v>
      </c>
      <c r="N44" s="2" t="s">
        <v>113</v>
      </c>
      <c r="O44" s="1">
        <v>17</v>
      </c>
      <c r="P44" s="1">
        <v>17</v>
      </c>
      <c r="Q44" s="1">
        <v>0</v>
      </c>
      <c r="R44" s="1">
        <v>6</v>
      </c>
      <c r="S44" s="1">
        <v>5</v>
      </c>
      <c r="T44" s="1">
        <v>5</v>
      </c>
      <c r="U44" s="1">
        <v>1</v>
      </c>
      <c r="V44" s="2">
        <f t="shared" si="0"/>
        <v>0</v>
      </c>
      <c r="W44" s="2">
        <f t="shared" si="1"/>
        <v>35.294117647058826</v>
      </c>
      <c r="X44" s="2">
        <f t="shared" si="2"/>
        <v>29.411764705882355</v>
      </c>
      <c r="Y44" s="2">
        <f t="shared" si="3"/>
        <v>5.8823529411764701</v>
      </c>
      <c r="Z44" s="2">
        <f t="shared" si="4"/>
        <v>29.411764705882355</v>
      </c>
    </row>
    <row r="45" spans="1:26" x14ac:dyDescent="0.3">
      <c r="A45" s="2" t="s">
        <v>181</v>
      </c>
      <c r="B45" s="1">
        <v>2404</v>
      </c>
      <c r="C45" s="2" t="s">
        <v>11</v>
      </c>
      <c r="D45" s="1">
        <v>240402</v>
      </c>
      <c r="E45" s="2" t="s">
        <v>15</v>
      </c>
      <c r="F45" s="1">
        <v>2404020002</v>
      </c>
      <c r="G45" s="2" t="s">
        <v>64</v>
      </c>
      <c r="H45" s="1">
        <v>24040202901</v>
      </c>
      <c r="I45" s="2" t="s">
        <v>124</v>
      </c>
      <c r="J45" s="1">
        <v>3</v>
      </c>
      <c r="K45" s="2" t="s">
        <v>12</v>
      </c>
      <c r="L45" s="1">
        <v>1</v>
      </c>
      <c r="M45" s="2" t="s">
        <v>167</v>
      </c>
      <c r="N45" s="2" t="s">
        <v>113</v>
      </c>
      <c r="O45" s="1">
        <v>63</v>
      </c>
      <c r="P45" s="1">
        <v>63</v>
      </c>
      <c r="Q45" s="1">
        <v>0</v>
      </c>
      <c r="R45" s="1">
        <v>7</v>
      </c>
      <c r="S45" s="1">
        <v>15</v>
      </c>
      <c r="T45" s="1">
        <v>33</v>
      </c>
      <c r="U45" s="1">
        <v>8</v>
      </c>
      <c r="V45" s="2">
        <f t="shared" si="0"/>
        <v>0</v>
      </c>
      <c r="W45" s="2">
        <f t="shared" si="1"/>
        <v>11.111111111111111</v>
      </c>
      <c r="X45" s="2">
        <f t="shared" si="2"/>
        <v>52.380952380952387</v>
      </c>
      <c r="Y45" s="2">
        <f t="shared" si="3"/>
        <v>12.698412698412698</v>
      </c>
      <c r="Z45" s="2">
        <f t="shared" si="4"/>
        <v>23.809523809523807</v>
      </c>
    </row>
    <row r="46" spans="1:26" x14ac:dyDescent="0.3">
      <c r="A46" s="2" t="s">
        <v>181</v>
      </c>
      <c r="B46" s="1">
        <v>2404</v>
      </c>
      <c r="C46" s="2" t="s">
        <v>11</v>
      </c>
      <c r="D46" s="1">
        <v>240402</v>
      </c>
      <c r="E46" s="2" t="s">
        <v>15</v>
      </c>
      <c r="F46" s="1">
        <v>2404020002</v>
      </c>
      <c r="G46" s="2" t="s">
        <v>64</v>
      </c>
      <c r="H46" s="1">
        <v>24040203001</v>
      </c>
      <c r="I46" s="2" t="s">
        <v>125</v>
      </c>
      <c r="J46" s="1">
        <v>3</v>
      </c>
      <c r="K46" s="2" t="s">
        <v>12</v>
      </c>
      <c r="L46" s="1">
        <v>1</v>
      </c>
      <c r="M46" s="2" t="s">
        <v>167</v>
      </c>
      <c r="N46" s="2" t="s">
        <v>113</v>
      </c>
      <c r="O46" s="1">
        <v>20</v>
      </c>
      <c r="P46" s="1">
        <v>20</v>
      </c>
      <c r="Q46" s="1">
        <v>0</v>
      </c>
      <c r="R46" s="1">
        <v>5</v>
      </c>
      <c r="S46" s="1">
        <v>8</v>
      </c>
      <c r="T46" s="1">
        <v>5</v>
      </c>
      <c r="U46" s="1">
        <v>2</v>
      </c>
      <c r="V46" s="2">
        <f t="shared" si="0"/>
        <v>0</v>
      </c>
      <c r="W46" s="2">
        <f t="shared" si="1"/>
        <v>25</v>
      </c>
      <c r="X46" s="2">
        <f t="shared" si="2"/>
        <v>25</v>
      </c>
      <c r="Y46" s="2">
        <f t="shared" si="3"/>
        <v>10</v>
      </c>
      <c r="Z46" s="2">
        <f t="shared" si="4"/>
        <v>40</v>
      </c>
    </row>
    <row r="47" spans="1:26" x14ac:dyDescent="0.3">
      <c r="A47" s="2" t="s">
        <v>181</v>
      </c>
      <c r="B47" s="1">
        <v>2404</v>
      </c>
      <c r="C47" s="2" t="s">
        <v>11</v>
      </c>
      <c r="D47" s="1">
        <v>240402</v>
      </c>
      <c r="E47" s="2" t="s">
        <v>15</v>
      </c>
      <c r="F47" s="1">
        <v>2404020005</v>
      </c>
      <c r="G47" s="2" t="s">
        <v>83</v>
      </c>
      <c r="H47" s="1">
        <v>24040203301</v>
      </c>
      <c r="I47" s="2" t="s">
        <v>114</v>
      </c>
      <c r="J47" s="1">
        <v>3</v>
      </c>
      <c r="K47" s="2" t="s">
        <v>12</v>
      </c>
      <c r="L47" s="1">
        <v>1</v>
      </c>
      <c r="M47" s="2" t="s">
        <v>167</v>
      </c>
      <c r="N47" s="2" t="s">
        <v>113</v>
      </c>
      <c r="O47" s="1">
        <v>11</v>
      </c>
      <c r="P47" s="1">
        <v>11</v>
      </c>
      <c r="Q47" s="1">
        <v>0</v>
      </c>
      <c r="R47" s="1">
        <v>3</v>
      </c>
      <c r="S47" s="1">
        <v>6</v>
      </c>
      <c r="T47" s="1">
        <v>2</v>
      </c>
      <c r="U47" s="1">
        <v>0</v>
      </c>
      <c r="V47" s="2">
        <f t="shared" si="0"/>
        <v>0</v>
      </c>
      <c r="W47" s="2">
        <f t="shared" si="1"/>
        <v>27.27272727272727</v>
      </c>
      <c r="X47" s="2">
        <f t="shared" si="2"/>
        <v>18.181818181818183</v>
      </c>
      <c r="Y47" s="2">
        <f t="shared" si="3"/>
        <v>0</v>
      </c>
      <c r="Z47" s="2">
        <f t="shared" si="4"/>
        <v>54.54545454545454</v>
      </c>
    </row>
    <row r="48" spans="1:26" x14ac:dyDescent="0.3">
      <c r="A48" s="2" t="s">
        <v>181</v>
      </c>
      <c r="B48" s="1">
        <v>2404</v>
      </c>
      <c r="C48" s="2" t="s">
        <v>11</v>
      </c>
      <c r="D48" s="1">
        <v>240402</v>
      </c>
      <c r="E48" s="2" t="s">
        <v>15</v>
      </c>
      <c r="F48" s="1">
        <v>2404020012</v>
      </c>
      <c r="G48" s="2" t="s">
        <v>37</v>
      </c>
      <c r="H48" s="1">
        <v>24040203601</v>
      </c>
      <c r="I48" s="2" t="s">
        <v>126</v>
      </c>
      <c r="J48" s="1">
        <v>3</v>
      </c>
      <c r="K48" s="2" t="s">
        <v>12</v>
      </c>
      <c r="L48" s="1">
        <v>1</v>
      </c>
      <c r="M48" s="2" t="s">
        <v>167</v>
      </c>
      <c r="N48" s="2" t="s">
        <v>113</v>
      </c>
      <c r="O48" s="1">
        <v>31</v>
      </c>
      <c r="P48" s="1">
        <v>31</v>
      </c>
      <c r="Q48" s="1">
        <v>0</v>
      </c>
      <c r="R48" s="1">
        <v>4</v>
      </c>
      <c r="S48" s="1">
        <v>9</v>
      </c>
      <c r="T48" s="1">
        <v>8</v>
      </c>
      <c r="U48" s="1">
        <v>10</v>
      </c>
      <c r="V48" s="2">
        <f t="shared" si="0"/>
        <v>0</v>
      </c>
      <c r="W48" s="2">
        <f t="shared" si="1"/>
        <v>12.903225806451612</v>
      </c>
      <c r="X48" s="2">
        <f t="shared" si="2"/>
        <v>25.806451612903224</v>
      </c>
      <c r="Y48" s="2">
        <f t="shared" si="3"/>
        <v>32.258064516129032</v>
      </c>
      <c r="Z48" s="2">
        <f t="shared" si="4"/>
        <v>29.032258064516132</v>
      </c>
    </row>
    <row r="49" spans="1:26" x14ac:dyDescent="0.3">
      <c r="A49" s="2" t="s">
        <v>181</v>
      </c>
      <c r="B49" s="1">
        <v>2404</v>
      </c>
      <c r="C49" s="2" t="s">
        <v>11</v>
      </c>
      <c r="D49" s="1">
        <v>240402</v>
      </c>
      <c r="E49" s="2" t="s">
        <v>15</v>
      </c>
      <c r="F49" s="1">
        <v>2404020010</v>
      </c>
      <c r="G49" s="2" t="s">
        <v>20</v>
      </c>
      <c r="H49" s="1">
        <v>24040204701</v>
      </c>
      <c r="I49" s="2" t="s">
        <v>129</v>
      </c>
      <c r="J49" s="1">
        <v>3</v>
      </c>
      <c r="K49" s="2" t="s">
        <v>12</v>
      </c>
      <c r="L49" s="1">
        <v>1</v>
      </c>
      <c r="M49" s="2" t="s">
        <v>167</v>
      </c>
      <c r="N49" s="2" t="s">
        <v>113</v>
      </c>
      <c r="O49" s="1">
        <v>12</v>
      </c>
      <c r="P49" s="1">
        <v>12</v>
      </c>
      <c r="Q49" s="1">
        <v>0</v>
      </c>
      <c r="R49" s="1">
        <v>0</v>
      </c>
      <c r="S49" s="1">
        <v>4</v>
      </c>
      <c r="T49" s="1">
        <v>7</v>
      </c>
      <c r="U49" s="1">
        <v>1</v>
      </c>
      <c r="V49" s="2">
        <f t="shared" si="0"/>
        <v>0</v>
      </c>
      <c r="W49" s="2">
        <f t="shared" si="1"/>
        <v>0</v>
      </c>
      <c r="X49" s="2">
        <f t="shared" si="2"/>
        <v>58.333333333333336</v>
      </c>
      <c r="Y49" s="2">
        <f t="shared" si="3"/>
        <v>8.3333333333333321</v>
      </c>
      <c r="Z49" s="2">
        <f t="shared" si="4"/>
        <v>33.333333333333329</v>
      </c>
    </row>
    <row r="50" spans="1:26" x14ac:dyDescent="0.3">
      <c r="A50" s="2" t="s">
        <v>181</v>
      </c>
      <c r="B50" s="1">
        <v>2404</v>
      </c>
      <c r="C50" s="2" t="s">
        <v>11</v>
      </c>
      <c r="D50" s="1">
        <v>240402</v>
      </c>
      <c r="E50" s="2" t="s">
        <v>15</v>
      </c>
      <c r="F50" s="1">
        <v>2404020014</v>
      </c>
      <c r="G50" s="2" t="s">
        <v>28</v>
      </c>
      <c r="H50" s="1">
        <v>24040204801</v>
      </c>
      <c r="I50" s="2" t="s">
        <v>112</v>
      </c>
      <c r="J50" s="1">
        <v>3</v>
      </c>
      <c r="K50" s="2" t="s">
        <v>12</v>
      </c>
      <c r="L50" s="1">
        <v>1</v>
      </c>
      <c r="M50" s="2" t="s">
        <v>167</v>
      </c>
      <c r="N50" s="2" t="s">
        <v>113</v>
      </c>
      <c r="O50" s="1">
        <v>9</v>
      </c>
      <c r="P50" s="1">
        <v>9</v>
      </c>
      <c r="Q50" s="1">
        <v>0</v>
      </c>
      <c r="R50" s="1">
        <v>0</v>
      </c>
      <c r="S50" s="1">
        <v>2</v>
      </c>
      <c r="T50" s="1">
        <v>5</v>
      </c>
      <c r="U50" s="1">
        <v>2</v>
      </c>
      <c r="V50" s="2">
        <f t="shared" si="0"/>
        <v>0</v>
      </c>
      <c r="W50" s="2">
        <f t="shared" si="1"/>
        <v>0</v>
      </c>
      <c r="X50" s="2">
        <f t="shared" si="2"/>
        <v>55.555555555555557</v>
      </c>
      <c r="Y50" s="2">
        <f t="shared" si="3"/>
        <v>22.222222222222221</v>
      </c>
      <c r="Z50" s="2">
        <f t="shared" si="4"/>
        <v>22.222222222222221</v>
      </c>
    </row>
    <row r="51" spans="1:26" x14ac:dyDescent="0.3">
      <c r="A51" s="2" t="s">
        <v>181</v>
      </c>
      <c r="B51" s="1">
        <v>2404</v>
      </c>
      <c r="C51" s="2" t="s">
        <v>11</v>
      </c>
      <c r="D51" s="1">
        <v>240402</v>
      </c>
      <c r="E51" s="2" t="s">
        <v>15</v>
      </c>
      <c r="F51" s="1">
        <v>2404020006</v>
      </c>
      <c r="G51" s="2" t="s">
        <v>56</v>
      </c>
      <c r="H51" s="1">
        <v>24040205101</v>
      </c>
      <c r="I51" s="2" t="s">
        <v>130</v>
      </c>
      <c r="J51" s="1">
        <v>3</v>
      </c>
      <c r="K51" s="2" t="s">
        <v>12</v>
      </c>
      <c r="L51" s="1">
        <v>1</v>
      </c>
      <c r="M51" s="2" t="s">
        <v>167</v>
      </c>
      <c r="N51" s="2" t="s">
        <v>113</v>
      </c>
      <c r="O51" s="1">
        <v>11</v>
      </c>
      <c r="P51" s="1">
        <v>11</v>
      </c>
      <c r="Q51" s="1">
        <v>0</v>
      </c>
      <c r="R51" s="1">
        <v>0</v>
      </c>
      <c r="S51" s="1">
        <v>0</v>
      </c>
      <c r="T51" s="1">
        <v>3</v>
      </c>
      <c r="U51" s="1">
        <v>8</v>
      </c>
      <c r="V51" s="2">
        <f t="shared" si="0"/>
        <v>0</v>
      </c>
      <c r="W51" s="2">
        <f t="shared" si="1"/>
        <v>0</v>
      </c>
      <c r="X51" s="2">
        <f t="shared" si="2"/>
        <v>27.27272727272727</v>
      </c>
      <c r="Y51" s="2">
        <f t="shared" si="3"/>
        <v>72.727272727272734</v>
      </c>
      <c r="Z51" s="2">
        <f t="shared" si="4"/>
        <v>0</v>
      </c>
    </row>
    <row r="52" spans="1:26" x14ac:dyDescent="0.3">
      <c r="A52" s="2" t="s">
        <v>181</v>
      </c>
      <c r="B52" s="1">
        <v>2404</v>
      </c>
      <c r="C52" s="2" t="s">
        <v>11</v>
      </c>
      <c r="D52" s="1">
        <v>240402</v>
      </c>
      <c r="E52" s="2" t="s">
        <v>15</v>
      </c>
      <c r="F52" s="1">
        <v>2404020004</v>
      </c>
      <c r="G52" s="2" t="s">
        <v>30</v>
      </c>
      <c r="H52" s="1">
        <v>24040205201</v>
      </c>
      <c r="I52" s="2" t="s">
        <v>131</v>
      </c>
      <c r="J52" s="1">
        <v>3</v>
      </c>
      <c r="K52" s="2" t="s">
        <v>12</v>
      </c>
      <c r="L52" s="1">
        <v>1</v>
      </c>
      <c r="M52" s="2" t="s">
        <v>167</v>
      </c>
      <c r="N52" s="2" t="s">
        <v>113</v>
      </c>
      <c r="O52" s="1">
        <v>12</v>
      </c>
      <c r="P52" s="1">
        <v>12</v>
      </c>
      <c r="Q52" s="1">
        <v>0</v>
      </c>
      <c r="R52" s="1">
        <v>1</v>
      </c>
      <c r="S52" s="1">
        <v>0</v>
      </c>
      <c r="T52" s="1">
        <v>0</v>
      </c>
      <c r="U52" s="1">
        <v>11</v>
      </c>
      <c r="V52" s="2">
        <f t="shared" si="0"/>
        <v>0</v>
      </c>
      <c r="W52" s="2">
        <f t="shared" si="1"/>
        <v>8.3333333333333321</v>
      </c>
      <c r="X52" s="2">
        <f t="shared" si="2"/>
        <v>0</v>
      </c>
      <c r="Y52" s="2">
        <f t="shared" si="3"/>
        <v>91.666666666666657</v>
      </c>
      <c r="Z52" s="2">
        <f t="shared" si="4"/>
        <v>0</v>
      </c>
    </row>
    <row r="53" spans="1:26" x14ac:dyDescent="0.3">
      <c r="A53" s="2" t="s">
        <v>181</v>
      </c>
      <c r="B53" s="1">
        <v>2404</v>
      </c>
      <c r="C53" s="2" t="s">
        <v>11</v>
      </c>
      <c r="D53" s="1">
        <v>240402</v>
      </c>
      <c r="E53" s="2" t="s">
        <v>15</v>
      </c>
      <c r="F53" s="1">
        <v>2404020003</v>
      </c>
      <c r="G53" s="2" t="s">
        <v>45</v>
      </c>
      <c r="H53" s="1">
        <v>24040205501</v>
      </c>
      <c r="I53" s="2" t="s">
        <v>133</v>
      </c>
      <c r="J53" s="1">
        <v>3</v>
      </c>
      <c r="K53" s="2" t="s">
        <v>12</v>
      </c>
      <c r="L53" s="1">
        <v>1</v>
      </c>
      <c r="M53" s="2" t="s">
        <v>167</v>
      </c>
      <c r="N53" s="2" t="s">
        <v>113</v>
      </c>
      <c r="O53" s="1">
        <v>8</v>
      </c>
      <c r="P53" s="1">
        <v>8</v>
      </c>
      <c r="Q53" s="1">
        <v>0</v>
      </c>
      <c r="R53" s="1">
        <v>0</v>
      </c>
      <c r="S53" s="1">
        <v>0</v>
      </c>
      <c r="T53" s="1">
        <v>4</v>
      </c>
      <c r="U53" s="1">
        <v>4</v>
      </c>
      <c r="V53" s="2">
        <f t="shared" si="0"/>
        <v>0</v>
      </c>
      <c r="W53" s="2">
        <f t="shared" si="1"/>
        <v>0</v>
      </c>
      <c r="X53" s="2">
        <f t="shared" si="2"/>
        <v>50</v>
      </c>
      <c r="Y53" s="2">
        <f t="shared" si="3"/>
        <v>50</v>
      </c>
      <c r="Z53" s="2">
        <f t="shared" si="4"/>
        <v>0</v>
      </c>
    </row>
    <row r="54" spans="1:26" x14ac:dyDescent="0.3">
      <c r="A54" s="2" t="s">
        <v>181</v>
      </c>
      <c r="B54" s="1">
        <v>2404</v>
      </c>
      <c r="C54" s="2" t="s">
        <v>11</v>
      </c>
      <c r="D54" s="1">
        <v>240402</v>
      </c>
      <c r="E54" s="2" t="s">
        <v>15</v>
      </c>
      <c r="F54" s="1">
        <v>2404020002</v>
      </c>
      <c r="G54" s="2" t="s">
        <v>64</v>
      </c>
      <c r="H54" s="1">
        <v>24040208201</v>
      </c>
      <c r="I54" s="2" t="s">
        <v>139</v>
      </c>
      <c r="J54" s="1">
        <v>3</v>
      </c>
      <c r="K54" s="2" t="s">
        <v>12</v>
      </c>
      <c r="L54" s="1">
        <v>1</v>
      </c>
      <c r="M54" s="2" t="s">
        <v>167</v>
      </c>
      <c r="N54" s="2" t="s">
        <v>113</v>
      </c>
      <c r="O54" s="1">
        <v>15</v>
      </c>
      <c r="P54" s="1">
        <v>15</v>
      </c>
      <c r="Q54" s="1">
        <v>0</v>
      </c>
      <c r="R54" s="1">
        <v>0</v>
      </c>
      <c r="S54" s="1">
        <v>1</v>
      </c>
      <c r="T54" s="1">
        <v>5</v>
      </c>
      <c r="U54" s="1">
        <v>9</v>
      </c>
      <c r="V54" s="2">
        <f t="shared" si="0"/>
        <v>0</v>
      </c>
      <c r="W54" s="2">
        <f t="shared" si="1"/>
        <v>0</v>
      </c>
      <c r="X54" s="2">
        <f t="shared" si="2"/>
        <v>33.333333333333329</v>
      </c>
      <c r="Y54" s="2">
        <f t="shared" si="3"/>
        <v>60</v>
      </c>
      <c r="Z54" s="2">
        <f t="shared" si="4"/>
        <v>6.666666666666667</v>
      </c>
    </row>
    <row r="55" spans="1:26" x14ac:dyDescent="0.3">
      <c r="A55" s="2" t="s">
        <v>181</v>
      </c>
      <c r="B55" s="1">
        <v>2404</v>
      </c>
      <c r="C55" s="2" t="s">
        <v>11</v>
      </c>
      <c r="D55" s="1">
        <v>240402</v>
      </c>
      <c r="E55" s="2" t="s">
        <v>15</v>
      </c>
      <c r="F55" s="1">
        <v>2404020011</v>
      </c>
      <c r="G55" s="2" t="s">
        <v>48</v>
      </c>
      <c r="H55" s="1">
        <v>24040209707</v>
      </c>
      <c r="I55" s="2" t="s">
        <v>143</v>
      </c>
      <c r="J55" s="1">
        <v>3</v>
      </c>
      <c r="K55" s="2" t="s">
        <v>12</v>
      </c>
      <c r="L55" s="1">
        <v>1</v>
      </c>
      <c r="M55" s="2" t="s">
        <v>167</v>
      </c>
      <c r="N55" s="2" t="s">
        <v>113</v>
      </c>
      <c r="O55" s="1">
        <v>74</v>
      </c>
      <c r="P55" s="1">
        <v>74</v>
      </c>
      <c r="Q55" s="1">
        <v>0</v>
      </c>
      <c r="R55" s="1">
        <v>1</v>
      </c>
      <c r="S55" s="1">
        <v>14</v>
      </c>
      <c r="T55" s="1">
        <v>38</v>
      </c>
      <c r="U55" s="1">
        <v>21</v>
      </c>
      <c r="V55" s="2">
        <f t="shared" si="0"/>
        <v>0</v>
      </c>
      <c r="W55" s="2">
        <f t="shared" si="1"/>
        <v>1.3513513513513513</v>
      </c>
      <c r="X55" s="2">
        <f t="shared" si="2"/>
        <v>51.351351351351347</v>
      </c>
      <c r="Y55" s="2">
        <f t="shared" si="3"/>
        <v>28.378378378378379</v>
      </c>
      <c r="Z55" s="2">
        <f t="shared" si="4"/>
        <v>18.918918918918919</v>
      </c>
    </row>
    <row r="56" spans="1:26" x14ac:dyDescent="0.3">
      <c r="A56" s="2" t="s">
        <v>181</v>
      </c>
      <c r="B56" s="1">
        <v>2404</v>
      </c>
      <c r="C56" s="2" t="s">
        <v>11</v>
      </c>
      <c r="D56" s="1">
        <v>240402</v>
      </c>
      <c r="E56" s="2" t="s">
        <v>15</v>
      </c>
      <c r="F56" s="1">
        <v>2404020002</v>
      </c>
      <c r="G56" s="2" t="s">
        <v>64</v>
      </c>
      <c r="H56" s="1">
        <v>24040211101</v>
      </c>
      <c r="I56" s="2" t="s">
        <v>145</v>
      </c>
      <c r="J56" s="1">
        <v>3</v>
      </c>
      <c r="K56" s="2" t="s">
        <v>12</v>
      </c>
      <c r="L56" s="1">
        <v>1</v>
      </c>
      <c r="M56" s="2" t="s">
        <v>167</v>
      </c>
      <c r="N56" s="2" t="s">
        <v>113</v>
      </c>
      <c r="O56" s="1">
        <v>23</v>
      </c>
      <c r="P56" s="1">
        <v>23</v>
      </c>
      <c r="Q56" s="1">
        <v>0</v>
      </c>
      <c r="R56" s="1">
        <v>3</v>
      </c>
      <c r="S56" s="1">
        <v>10</v>
      </c>
      <c r="T56" s="1">
        <v>9</v>
      </c>
      <c r="U56" s="1">
        <v>1</v>
      </c>
      <c r="V56" s="2">
        <f t="shared" si="0"/>
        <v>0</v>
      </c>
      <c r="W56" s="2">
        <f t="shared" si="1"/>
        <v>13.043478260869565</v>
      </c>
      <c r="X56" s="2">
        <f t="shared" si="2"/>
        <v>39.130434782608695</v>
      </c>
      <c r="Y56" s="2">
        <f t="shared" si="3"/>
        <v>4.3478260869565215</v>
      </c>
      <c r="Z56" s="2">
        <f t="shared" si="4"/>
        <v>43.478260869565219</v>
      </c>
    </row>
    <row r="57" spans="1:26" x14ac:dyDescent="0.3">
      <c r="A57" s="2" t="s">
        <v>181</v>
      </c>
      <c r="B57" s="1">
        <v>2404</v>
      </c>
      <c r="C57" s="2" t="s">
        <v>11</v>
      </c>
      <c r="D57" s="1">
        <v>240402</v>
      </c>
      <c r="E57" s="2" t="s">
        <v>15</v>
      </c>
      <c r="F57" s="1">
        <v>2404020013</v>
      </c>
      <c r="G57" s="2" t="s">
        <v>23</v>
      </c>
      <c r="H57" s="1">
        <v>24040211601</v>
      </c>
      <c r="I57" s="2" t="s">
        <v>147</v>
      </c>
      <c r="J57" s="1">
        <v>3</v>
      </c>
      <c r="K57" s="2" t="s">
        <v>12</v>
      </c>
      <c r="L57" s="1">
        <v>1</v>
      </c>
      <c r="M57" s="2" t="s">
        <v>167</v>
      </c>
      <c r="N57" s="2" t="s">
        <v>113</v>
      </c>
      <c r="O57" s="1">
        <v>11</v>
      </c>
      <c r="P57" s="1">
        <v>11</v>
      </c>
      <c r="Q57" s="1">
        <v>0</v>
      </c>
      <c r="R57" s="1">
        <v>0</v>
      </c>
      <c r="S57" s="1">
        <v>1</v>
      </c>
      <c r="T57" s="1">
        <v>2</v>
      </c>
      <c r="U57" s="1">
        <v>8</v>
      </c>
      <c r="V57" s="2">
        <f t="shared" si="0"/>
        <v>0</v>
      </c>
      <c r="W57" s="2">
        <f t="shared" si="1"/>
        <v>0</v>
      </c>
      <c r="X57" s="2">
        <f t="shared" si="2"/>
        <v>18.181818181818183</v>
      </c>
      <c r="Y57" s="2">
        <f t="shared" si="3"/>
        <v>72.727272727272734</v>
      </c>
      <c r="Z57" s="2">
        <f t="shared" si="4"/>
        <v>9.0909090909090917</v>
      </c>
    </row>
    <row r="58" spans="1:26" x14ac:dyDescent="0.3">
      <c r="A58" s="2" t="s">
        <v>181</v>
      </c>
      <c r="B58" s="1">
        <v>2404</v>
      </c>
      <c r="C58" s="2" t="s">
        <v>11</v>
      </c>
      <c r="D58" s="1">
        <v>240402</v>
      </c>
      <c r="E58" s="2" t="s">
        <v>15</v>
      </c>
      <c r="F58" s="1">
        <v>2404020002</v>
      </c>
      <c r="G58" s="2" t="s">
        <v>64</v>
      </c>
      <c r="H58" s="1">
        <v>24040211801</v>
      </c>
      <c r="I58" s="2" t="s">
        <v>148</v>
      </c>
      <c r="J58" s="1">
        <v>3</v>
      </c>
      <c r="K58" s="2" t="s">
        <v>12</v>
      </c>
      <c r="L58" s="1">
        <v>1</v>
      </c>
      <c r="M58" s="2" t="s">
        <v>167</v>
      </c>
      <c r="N58" s="2" t="s">
        <v>113</v>
      </c>
      <c r="O58" s="1">
        <v>12</v>
      </c>
      <c r="P58" s="1">
        <v>12</v>
      </c>
      <c r="Q58" s="1">
        <v>0</v>
      </c>
      <c r="R58" s="1">
        <v>7</v>
      </c>
      <c r="S58" s="1">
        <v>1</v>
      </c>
      <c r="T58" s="1">
        <v>3</v>
      </c>
      <c r="U58" s="1">
        <v>1</v>
      </c>
      <c r="V58" s="2">
        <f t="shared" si="0"/>
        <v>0</v>
      </c>
      <c r="W58" s="2">
        <f t="shared" si="1"/>
        <v>58.333333333333336</v>
      </c>
      <c r="X58" s="2">
        <f t="shared" si="2"/>
        <v>25</v>
      </c>
      <c r="Y58" s="2">
        <f t="shared" si="3"/>
        <v>8.3333333333333321</v>
      </c>
      <c r="Z58" s="2">
        <f t="shared" si="4"/>
        <v>8.3333333333333321</v>
      </c>
    </row>
    <row r="59" spans="1:26" x14ac:dyDescent="0.3">
      <c r="A59" s="2" t="s">
        <v>181</v>
      </c>
      <c r="B59" s="1">
        <v>2404</v>
      </c>
      <c r="C59" s="2" t="s">
        <v>11</v>
      </c>
      <c r="D59" s="1">
        <v>240402</v>
      </c>
      <c r="E59" s="2" t="s">
        <v>15</v>
      </c>
      <c r="F59" s="1">
        <v>2404020013</v>
      </c>
      <c r="G59" s="2" t="s">
        <v>23</v>
      </c>
      <c r="H59" s="1">
        <v>24040212201</v>
      </c>
      <c r="I59" s="2" t="s">
        <v>150</v>
      </c>
      <c r="J59" s="1">
        <v>3</v>
      </c>
      <c r="K59" s="2" t="s">
        <v>12</v>
      </c>
      <c r="L59" s="1">
        <v>1</v>
      </c>
      <c r="M59" s="2" t="s">
        <v>167</v>
      </c>
      <c r="N59" s="2" t="s">
        <v>113</v>
      </c>
      <c r="O59" s="1">
        <v>31</v>
      </c>
      <c r="P59" s="1">
        <v>31</v>
      </c>
      <c r="Q59" s="1">
        <v>0</v>
      </c>
      <c r="R59" s="1">
        <v>9</v>
      </c>
      <c r="S59" s="1">
        <v>4</v>
      </c>
      <c r="T59" s="1">
        <v>14</v>
      </c>
      <c r="U59" s="1">
        <v>4</v>
      </c>
      <c r="V59" s="2">
        <f t="shared" si="0"/>
        <v>0</v>
      </c>
      <c r="W59" s="2">
        <f t="shared" si="1"/>
        <v>29.032258064516132</v>
      </c>
      <c r="X59" s="2">
        <f t="shared" si="2"/>
        <v>45.161290322580641</v>
      </c>
      <c r="Y59" s="2">
        <f t="shared" si="3"/>
        <v>12.903225806451612</v>
      </c>
      <c r="Z59" s="2">
        <f t="shared" si="4"/>
        <v>12.903225806451612</v>
      </c>
    </row>
    <row r="60" spans="1:26" x14ac:dyDescent="0.3">
      <c r="A60" s="2" t="s">
        <v>181</v>
      </c>
      <c r="B60" s="1">
        <v>2404</v>
      </c>
      <c r="C60" s="2" t="s">
        <v>11</v>
      </c>
      <c r="D60" s="1">
        <v>240402</v>
      </c>
      <c r="E60" s="2" t="s">
        <v>15</v>
      </c>
      <c r="F60" s="1">
        <v>2404020014</v>
      </c>
      <c r="G60" s="2" t="s">
        <v>28</v>
      </c>
      <c r="H60" s="1">
        <v>24040212301</v>
      </c>
      <c r="I60" s="2" t="s">
        <v>151</v>
      </c>
      <c r="J60" s="1">
        <v>3</v>
      </c>
      <c r="K60" s="2" t="s">
        <v>12</v>
      </c>
      <c r="L60" s="1">
        <v>1</v>
      </c>
      <c r="M60" s="2" t="s">
        <v>167</v>
      </c>
      <c r="N60" s="2" t="s">
        <v>113</v>
      </c>
      <c r="O60" s="1">
        <v>15</v>
      </c>
      <c r="P60" s="1">
        <v>15</v>
      </c>
      <c r="Q60" s="1">
        <v>0</v>
      </c>
      <c r="R60" s="1">
        <v>4</v>
      </c>
      <c r="S60" s="1">
        <v>4</v>
      </c>
      <c r="T60" s="1">
        <v>5</v>
      </c>
      <c r="U60" s="1">
        <v>2</v>
      </c>
      <c r="V60" s="2">
        <f t="shared" si="0"/>
        <v>0</v>
      </c>
      <c r="W60" s="2">
        <f t="shared" si="1"/>
        <v>26.666666666666668</v>
      </c>
      <c r="X60" s="2">
        <f t="shared" si="2"/>
        <v>33.333333333333329</v>
      </c>
      <c r="Y60" s="2">
        <f t="shared" si="3"/>
        <v>13.333333333333334</v>
      </c>
      <c r="Z60" s="2">
        <f t="shared" si="4"/>
        <v>26.666666666666668</v>
      </c>
    </row>
    <row r="61" spans="1:26" x14ac:dyDescent="0.3">
      <c r="A61" s="2" t="s">
        <v>181</v>
      </c>
      <c r="B61" s="1">
        <v>2404</v>
      </c>
      <c r="C61" s="2" t="s">
        <v>11</v>
      </c>
      <c r="D61" s="1">
        <v>240402</v>
      </c>
      <c r="E61" s="2" t="s">
        <v>15</v>
      </c>
      <c r="F61" s="1">
        <v>2404020006</v>
      </c>
      <c r="G61" s="2" t="s">
        <v>56</v>
      </c>
      <c r="H61" s="1">
        <v>24040213201</v>
      </c>
      <c r="I61" s="2" t="s">
        <v>161</v>
      </c>
      <c r="J61" s="1">
        <v>3</v>
      </c>
      <c r="K61" s="2" t="s">
        <v>12</v>
      </c>
      <c r="L61" s="1">
        <v>1</v>
      </c>
      <c r="M61" s="2" t="s">
        <v>167</v>
      </c>
      <c r="N61" s="2" t="s">
        <v>113</v>
      </c>
      <c r="O61" s="1">
        <v>6</v>
      </c>
      <c r="P61" s="1">
        <v>6</v>
      </c>
      <c r="Q61" s="1">
        <v>0</v>
      </c>
      <c r="R61" s="1">
        <v>6</v>
      </c>
      <c r="S61" s="1">
        <v>0</v>
      </c>
      <c r="T61" s="1">
        <v>0</v>
      </c>
      <c r="U61" s="1">
        <v>0</v>
      </c>
      <c r="V61" s="2">
        <f t="shared" si="0"/>
        <v>0</v>
      </c>
      <c r="W61" s="2">
        <f t="shared" si="1"/>
        <v>100</v>
      </c>
      <c r="X61" s="2">
        <f t="shared" si="2"/>
        <v>0</v>
      </c>
      <c r="Y61" s="2">
        <f t="shared" si="3"/>
        <v>0</v>
      </c>
      <c r="Z61" s="2">
        <f t="shared" si="4"/>
        <v>0</v>
      </c>
    </row>
    <row r="62" spans="1:26" x14ac:dyDescent="0.3">
      <c r="A62" s="2" t="s">
        <v>181</v>
      </c>
      <c r="B62" s="1">
        <v>2404</v>
      </c>
      <c r="C62" s="2" t="s">
        <v>11</v>
      </c>
      <c r="D62" s="1">
        <v>240402</v>
      </c>
      <c r="E62" s="2" t="s">
        <v>15</v>
      </c>
      <c r="F62" s="1">
        <v>2404020006</v>
      </c>
      <c r="G62" s="2" t="s">
        <v>56</v>
      </c>
      <c r="H62" s="1">
        <v>24040213801</v>
      </c>
      <c r="I62" s="2" t="s">
        <v>153</v>
      </c>
      <c r="J62" s="1">
        <v>3</v>
      </c>
      <c r="K62" s="2" t="s">
        <v>12</v>
      </c>
      <c r="L62" s="1">
        <v>1</v>
      </c>
      <c r="M62" s="2" t="s">
        <v>167</v>
      </c>
      <c r="N62" s="2" t="s">
        <v>113</v>
      </c>
      <c r="O62" s="1">
        <v>8</v>
      </c>
      <c r="P62" s="1">
        <v>8</v>
      </c>
      <c r="Q62" s="1">
        <v>0</v>
      </c>
      <c r="R62" s="1">
        <v>2</v>
      </c>
      <c r="S62" s="1">
        <v>2</v>
      </c>
      <c r="T62" s="1">
        <v>4</v>
      </c>
      <c r="U62" s="1">
        <v>0</v>
      </c>
      <c r="V62" s="2">
        <f t="shared" si="0"/>
        <v>0</v>
      </c>
      <c r="W62" s="2">
        <f t="shared" si="1"/>
        <v>25</v>
      </c>
      <c r="X62" s="2">
        <f t="shared" si="2"/>
        <v>50</v>
      </c>
      <c r="Y62" s="2">
        <f t="shared" si="3"/>
        <v>0</v>
      </c>
      <c r="Z62" s="2">
        <f t="shared" si="4"/>
        <v>25</v>
      </c>
    </row>
    <row r="63" spans="1:26" x14ac:dyDescent="0.3">
      <c r="A63" s="2" t="s">
        <v>181</v>
      </c>
      <c r="B63" s="1">
        <v>2404</v>
      </c>
      <c r="C63" s="2" t="s">
        <v>11</v>
      </c>
      <c r="D63" s="1">
        <v>240402</v>
      </c>
      <c r="E63" s="2" t="s">
        <v>15</v>
      </c>
      <c r="F63" s="1">
        <v>2404020010</v>
      </c>
      <c r="G63" s="2" t="s">
        <v>20</v>
      </c>
      <c r="H63" s="1">
        <v>24040214101</v>
      </c>
      <c r="I63" s="2" t="s">
        <v>155</v>
      </c>
      <c r="J63" s="1">
        <v>3</v>
      </c>
      <c r="K63" s="2" t="s">
        <v>12</v>
      </c>
      <c r="L63" s="1">
        <v>1</v>
      </c>
      <c r="M63" s="2" t="s">
        <v>167</v>
      </c>
      <c r="N63" s="2" t="s">
        <v>113</v>
      </c>
      <c r="O63" s="1">
        <v>12</v>
      </c>
      <c r="P63" s="1">
        <v>12</v>
      </c>
      <c r="Q63" s="1">
        <v>0</v>
      </c>
      <c r="R63" s="1">
        <v>1</v>
      </c>
      <c r="S63" s="1">
        <v>4</v>
      </c>
      <c r="T63" s="1">
        <v>4</v>
      </c>
      <c r="U63" s="1">
        <v>3</v>
      </c>
      <c r="V63" s="2">
        <f t="shared" si="0"/>
        <v>0</v>
      </c>
      <c r="W63" s="2">
        <f t="shared" si="1"/>
        <v>8.3333333333333321</v>
      </c>
      <c r="X63" s="2">
        <f t="shared" si="2"/>
        <v>33.333333333333329</v>
      </c>
      <c r="Y63" s="2">
        <f t="shared" si="3"/>
        <v>25</v>
      </c>
      <c r="Z63" s="2">
        <f t="shared" si="4"/>
        <v>33.333333333333329</v>
      </c>
    </row>
    <row r="64" spans="1:26" x14ac:dyDescent="0.3">
      <c r="A64" s="2" t="s">
        <v>181</v>
      </c>
      <c r="B64" s="1">
        <v>2404</v>
      </c>
      <c r="C64" s="2" t="s">
        <v>11</v>
      </c>
      <c r="D64" s="1">
        <v>240402</v>
      </c>
      <c r="E64" s="2" t="s">
        <v>15</v>
      </c>
      <c r="F64" s="1">
        <v>2404020004</v>
      </c>
      <c r="G64" s="2" t="s">
        <v>30</v>
      </c>
      <c r="H64" s="1">
        <v>24040201303</v>
      </c>
      <c r="I64" s="2" t="s">
        <v>121</v>
      </c>
      <c r="J64" s="1">
        <v>3</v>
      </c>
      <c r="K64" s="2" t="s">
        <v>12</v>
      </c>
      <c r="L64" s="1">
        <v>1</v>
      </c>
      <c r="M64" s="2" t="s">
        <v>167</v>
      </c>
      <c r="N64" s="2" t="s">
        <v>113</v>
      </c>
      <c r="O64" s="1">
        <v>40</v>
      </c>
      <c r="P64" s="1">
        <v>36</v>
      </c>
      <c r="Q64" s="1">
        <v>4</v>
      </c>
      <c r="R64" s="1">
        <v>11</v>
      </c>
      <c r="S64" s="1">
        <v>14</v>
      </c>
      <c r="T64" s="1">
        <v>11</v>
      </c>
      <c r="U64" s="1">
        <v>0</v>
      </c>
      <c r="V64" s="2">
        <f t="shared" si="0"/>
        <v>0.1111111111111111</v>
      </c>
      <c r="W64" s="2">
        <f t="shared" si="1"/>
        <v>30.555555555555557</v>
      </c>
      <c r="X64" s="2">
        <f t="shared" si="2"/>
        <v>30.555555555555557</v>
      </c>
      <c r="Y64" s="2">
        <f t="shared" si="3"/>
        <v>0</v>
      </c>
      <c r="Z64" s="2">
        <f t="shared" si="4"/>
        <v>38.888888888888893</v>
      </c>
    </row>
    <row r="65" spans="1:26" x14ac:dyDescent="0.3">
      <c r="A65" s="2" t="s">
        <v>181</v>
      </c>
      <c r="B65" s="1">
        <v>2404</v>
      </c>
      <c r="C65" s="2" t="s">
        <v>11</v>
      </c>
      <c r="D65" s="1">
        <v>240402</v>
      </c>
      <c r="E65" s="2" t="s">
        <v>15</v>
      </c>
      <c r="F65" s="1">
        <v>2404020009</v>
      </c>
      <c r="G65" s="2" t="s">
        <v>34</v>
      </c>
      <c r="H65" s="1">
        <v>24040209003</v>
      </c>
      <c r="I65" s="2" t="s">
        <v>141</v>
      </c>
      <c r="J65" s="1">
        <v>3</v>
      </c>
      <c r="K65" s="2" t="s">
        <v>12</v>
      </c>
      <c r="L65" s="1">
        <v>1</v>
      </c>
      <c r="M65" s="2" t="s">
        <v>167</v>
      </c>
      <c r="N65" s="2" t="s">
        <v>113</v>
      </c>
      <c r="O65" s="1">
        <v>18</v>
      </c>
      <c r="P65" s="1">
        <v>17</v>
      </c>
      <c r="Q65" s="1">
        <v>1</v>
      </c>
      <c r="R65" s="1">
        <v>0</v>
      </c>
      <c r="S65" s="1">
        <v>5</v>
      </c>
      <c r="T65" s="1">
        <v>5</v>
      </c>
      <c r="U65" s="1">
        <v>7</v>
      </c>
      <c r="V65" s="2">
        <f t="shared" si="0"/>
        <v>5.8823529411764705E-2</v>
      </c>
      <c r="W65" s="2">
        <f t="shared" si="1"/>
        <v>0</v>
      </c>
      <c r="X65" s="2">
        <f t="shared" si="2"/>
        <v>29.411764705882355</v>
      </c>
      <c r="Y65" s="2">
        <f t="shared" si="3"/>
        <v>41.17647058823529</v>
      </c>
      <c r="Z65" s="2">
        <f t="shared" si="4"/>
        <v>29.411764705882355</v>
      </c>
    </row>
    <row r="66" spans="1:26" x14ac:dyDescent="0.3">
      <c r="A66" s="2" t="s">
        <v>181</v>
      </c>
      <c r="B66" s="1">
        <v>2404</v>
      </c>
      <c r="C66" s="2" t="s">
        <v>11</v>
      </c>
      <c r="D66" s="1">
        <v>240402</v>
      </c>
      <c r="E66" s="2" t="s">
        <v>15</v>
      </c>
      <c r="F66" s="1">
        <v>2404020005</v>
      </c>
      <c r="G66" s="2" t="s">
        <v>83</v>
      </c>
      <c r="H66" s="1">
        <v>24040211901</v>
      </c>
      <c r="I66" s="2" t="s">
        <v>149</v>
      </c>
      <c r="J66" s="1">
        <v>3</v>
      </c>
      <c r="K66" s="2" t="s">
        <v>12</v>
      </c>
      <c r="L66" s="1">
        <v>1</v>
      </c>
      <c r="M66" s="2" t="s">
        <v>167</v>
      </c>
      <c r="N66" s="2" t="s">
        <v>113</v>
      </c>
      <c r="O66" s="1">
        <v>60</v>
      </c>
      <c r="P66" s="1">
        <v>58</v>
      </c>
      <c r="Q66" s="1">
        <v>2</v>
      </c>
      <c r="R66" s="1">
        <v>20</v>
      </c>
      <c r="S66" s="1">
        <v>5</v>
      </c>
      <c r="T66" s="1">
        <v>15</v>
      </c>
      <c r="U66" s="1">
        <v>18</v>
      </c>
      <c r="V66" s="2">
        <f t="shared" ref="V66:V129" si="5">Q66/P66</f>
        <v>3.4482758620689655E-2</v>
      </c>
      <c r="W66" s="2">
        <f t="shared" si="1"/>
        <v>34.482758620689658</v>
      </c>
      <c r="X66" s="2">
        <f t="shared" si="2"/>
        <v>25.862068965517242</v>
      </c>
      <c r="Y66" s="2">
        <f t="shared" si="3"/>
        <v>31.03448275862069</v>
      </c>
      <c r="Z66" s="2">
        <f t="shared" si="4"/>
        <v>8.6206896551724146</v>
      </c>
    </row>
    <row r="67" spans="1:26" x14ac:dyDescent="0.3">
      <c r="A67" s="2" t="s">
        <v>181</v>
      </c>
      <c r="B67" s="1">
        <v>2404</v>
      </c>
      <c r="C67" s="2" t="s">
        <v>11</v>
      </c>
      <c r="D67" s="1">
        <v>240402</v>
      </c>
      <c r="E67" s="2" t="s">
        <v>15</v>
      </c>
      <c r="F67" s="1">
        <v>2404020009</v>
      </c>
      <c r="G67" s="2" t="s">
        <v>34</v>
      </c>
      <c r="H67" s="1">
        <v>24040213302</v>
      </c>
      <c r="I67" s="2" t="s">
        <v>104</v>
      </c>
      <c r="J67" s="1">
        <v>3</v>
      </c>
      <c r="K67" s="2" t="s">
        <v>12</v>
      </c>
      <c r="L67" s="1">
        <v>1</v>
      </c>
      <c r="M67" s="2" t="s">
        <v>167</v>
      </c>
      <c r="N67" s="2" t="s">
        <v>13</v>
      </c>
      <c r="O67" s="1">
        <v>158</v>
      </c>
      <c r="P67" s="1">
        <v>157</v>
      </c>
      <c r="Q67" s="1">
        <v>1</v>
      </c>
      <c r="R67" s="1">
        <v>57</v>
      </c>
      <c r="S67" s="1">
        <v>51</v>
      </c>
      <c r="T67" s="1">
        <v>35</v>
      </c>
      <c r="U67" s="1">
        <v>14</v>
      </c>
      <c r="V67" s="2">
        <f t="shared" si="5"/>
        <v>6.369426751592357E-3</v>
      </c>
      <c r="W67" s="2">
        <f t="shared" ref="W67:W130" si="6">R67/P67*100</f>
        <v>36.30573248407643</v>
      </c>
      <c r="X67" s="2">
        <f t="shared" ref="X67:X130" si="7">T67/P67*100</f>
        <v>22.29299363057325</v>
      </c>
      <c r="Y67" s="2">
        <f t="shared" ref="Y67:Y130" si="8">U67/P67*100</f>
        <v>8.9171974522292992</v>
      </c>
      <c r="Z67" s="2">
        <f t="shared" ref="Z67:Z130" si="9">S67/P67*100</f>
        <v>32.484076433121018</v>
      </c>
    </row>
    <row r="68" spans="1:26" x14ac:dyDescent="0.3">
      <c r="A68" s="2" t="s">
        <v>181</v>
      </c>
      <c r="B68" s="1">
        <v>2404</v>
      </c>
      <c r="C68" s="2" t="s">
        <v>11</v>
      </c>
      <c r="D68" s="1">
        <v>240402</v>
      </c>
      <c r="E68" s="2" t="s">
        <v>15</v>
      </c>
      <c r="F68" s="1">
        <v>2404020005</v>
      </c>
      <c r="G68" s="2" t="s">
        <v>83</v>
      </c>
      <c r="H68" s="1">
        <v>24040210901</v>
      </c>
      <c r="I68" s="2" t="s">
        <v>116</v>
      </c>
      <c r="J68" s="1">
        <v>3</v>
      </c>
      <c r="K68" s="2" t="s">
        <v>12</v>
      </c>
      <c r="L68" s="1">
        <v>2</v>
      </c>
      <c r="M68" s="2" t="s">
        <v>166</v>
      </c>
      <c r="N68" s="2" t="s">
        <v>113</v>
      </c>
      <c r="O68" s="1">
        <v>54</v>
      </c>
      <c r="P68" s="1">
        <v>51</v>
      </c>
      <c r="Q68" s="1">
        <v>3</v>
      </c>
      <c r="R68" s="1">
        <v>7</v>
      </c>
      <c r="S68" s="1">
        <v>26</v>
      </c>
      <c r="T68" s="1">
        <v>14</v>
      </c>
      <c r="U68" s="1">
        <v>4</v>
      </c>
      <c r="V68" s="2">
        <f t="shared" si="5"/>
        <v>5.8823529411764705E-2</v>
      </c>
      <c r="W68" s="2">
        <f t="shared" si="6"/>
        <v>13.725490196078432</v>
      </c>
      <c r="X68" s="2">
        <f t="shared" si="7"/>
        <v>27.450980392156865</v>
      </c>
      <c r="Y68" s="2">
        <f t="shared" si="8"/>
        <v>7.8431372549019605</v>
      </c>
      <c r="Z68" s="2">
        <f t="shared" si="9"/>
        <v>50.980392156862742</v>
      </c>
    </row>
    <row r="69" spans="1:26" x14ac:dyDescent="0.3">
      <c r="A69" s="2" t="s">
        <v>181</v>
      </c>
      <c r="B69" s="1">
        <v>2404</v>
      </c>
      <c r="C69" s="2" t="s">
        <v>11</v>
      </c>
      <c r="D69" s="1">
        <v>240402</v>
      </c>
      <c r="E69" s="2" t="s">
        <v>15</v>
      </c>
      <c r="F69" s="1">
        <v>2404020010</v>
      </c>
      <c r="G69" s="2" t="s">
        <v>20</v>
      </c>
      <c r="H69" s="1">
        <v>24040200401</v>
      </c>
      <c r="I69" s="2" t="s">
        <v>21</v>
      </c>
      <c r="J69" s="1">
        <v>3</v>
      </c>
      <c r="K69" s="2" t="s">
        <v>12</v>
      </c>
      <c r="L69" s="1">
        <v>2</v>
      </c>
      <c r="M69" s="2" t="s">
        <v>166</v>
      </c>
      <c r="N69" s="2" t="s">
        <v>13</v>
      </c>
      <c r="O69" s="1">
        <v>540</v>
      </c>
      <c r="P69" s="1">
        <v>522</v>
      </c>
      <c r="Q69" s="1">
        <v>18</v>
      </c>
      <c r="R69" s="1">
        <v>200</v>
      </c>
      <c r="S69" s="1">
        <v>180</v>
      </c>
      <c r="T69" s="1">
        <v>125</v>
      </c>
      <c r="U69" s="1">
        <v>17</v>
      </c>
      <c r="V69" s="2">
        <f t="shared" si="5"/>
        <v>3.4482758620689655E-2</v>
      </c>
      <c r="W69" s="2">
        <f t="shared" si="6"/>
        <v>38.314176245210732</v>
      </c>
      <c r="X69" s="2">
        <f t="shared" si="7"/>
        <v>23.946360153256705</v>
      </c>
      <c r="Y69" s="2">
        <f t="shared" si="8"/>
        <v>3.2567049808429118</v>
      </c>
      <c r="Z69" s="2">
        <f t="shared" si="9"/>
        <v>34.482758620689658</v>
      </c>
    </row>
    <row r="70" spans="1:26" x14ac:dyDescent="0.3">
      <c r="A70" s="2" t="s">
        <v>181</v>
      </c>
      <c r="B70" s="1">
        <v>2404</v>
      </c>
      <c r="C70" s="2" t="s">
        <v>11</v>
      </c>
      <c r="D70" s="1">
        <v>240402</v>
      </c>
      <c r="E70" s="2" t="s">
        <v>15</v>
      </c>
      <c r="F70" s="1">
        <v>2404020008</v>
      </c>
      <c r="G70" s="2" t="s">
        <v>18</v>
      </c>
      <c r="H70" s="1">
        <v>24040200501</v>
      </c>
      <c r="I70" s="2" t="s">
        <v>22</v>
      </c>
      <c r="J70" s="1">
        <v>3</v>
      </c>
      <c r="K70" s="2" t="s">
        <v>12</v>
      </c>
      <c r="L70" s="1">
        <v>2</v>
      </c>
      <c r="M70" s="2" t="s">
        <v>166</v>
      </c>
      <c r="N70" s="2" t="s">
        <v>13</v>
      </c>
      <c r="O70" s="1">
        <v>262</v>
      </c>
      <c r="P70" s="1">
        <v>258</v>
      </c>
      <c r="Q70" s="1">
        <v>4</v>
      </c>
      <c r="R70" s="1">
        <v>74</v>
      </c>
      <c r="S70" s="1">
        <v>74</v>
      </c>
      <c r="T70" s="1">
        <v>84</v>
      </c>
      <c r="U70" s="1">
        <v>26</v>
      </c>
      <c r="V70" s="2">
        <f t="shared" si="5"/>
        <v>1.5503875968992248E-2</v>
      </c>
      <c r="W70" s="2">
        <f t="shared" si="6"/>
        <v>28.68217054263566</v>
      </c>
      <c r="X70" s="2">
        <f t="shared" si="7"/>
        <v>32.558139534883722</v>
      </c>
      <c r="Y70" s="2">
        <f t="shared" si="8"/>
        <v>10.077519379844961</v>
      </c>
      <c r="Z70" s="2">
        <f t="shared" si="9"/>
        <v>28.68217054263566</v>
      </c>
    </row>
    <row r="71" spans="1:26" x14ac:dyDescent="0.3">
      <c r="A71" s="2" t="s">
        <v>181</v>
      </c>
      <c r="B71" s="1">
        <v>2404</v>
      </c>
      <c r="C71" s="2" t="s">
        <v>11</v>
      </c>
      <c r="D71" s="1">
        <v>240402</v>
      </c>
      <c r="E71" s="2" t="s">
        <v>15</v>
      </c>
      <c r="F71" s="1">
        <v>2404020014</v>
      </c>
      <c r="G71" s="2" t="s">
        <v>28</v>
      </c>
      <c r="H71" s="1">
        <v>24040201201</v>
      </c>
      <c r="I71" s="2" t="s">
        <v>29</v>
      </c>
      <c r="J71" s="1">
        <v>3</v>
      </c>
      <c r="K71" s="2" t="s">
        <v>12</v>
      </c>
      <c r="L71" s="1">
        <v>2</v>
      </c>
      <c r="M71" s="2" t="s">
        <v>166</v>
      </c>
      <c r="N71" s="2" t="s">
        <v>13</v>
      </c>
      <c r="O71" s="1">
        <v>125</v>
      </c>
      <c r="P71" s="1">
        <v>121</v>
      </c>
      <c r="Q71" s="1">
        <v>4</v>
      </c>
      <c r="R71" s="1">
        <v>30</v>
      </c>
      <c r="S71" s="1">
        <v>28</v>
      </c>
      <c r="T71" s="1">
        <v>48</v>
      </c>
      <c r="U71" s="1">
        <v>15</v>
      </c>
      <c r="V71" s="2">
        <f t="shared" si="5"/>
        <v>3.3057851239669422E-2</v>
      </c>
      <c r="W71" s="2">
        <f t="shared" si="6"/>
        <v>24.793388429752067</v>
      </c>
      <c r="X71" s="2">
        <f t="shared" si="7"/>
        <v>39.669421487603309</v>
      </c>
      <c r="Y71" s="2">
        <f t="shared" si="8"/>
        <v>12.396694214876034</v>
      </c>
      <c r="Z71" s="2">
        <f t="shared" si="9"/>
        <v>23.140495867768596</v>
      </c>
    </row>
    <row r="72" spans="1:26" x14ac:dyDescent="0.3">
      <c r="A72" s="2" t="s">
        <v>181</v>
      </c>
      <c r="B72" s="1">
        <v>2404</v>
      </c>
      <c r="C72" s="2" t="s">
        <v>11</v>
      </c>
      <c r="D72" s="1">
        <v>240402</v>
      </c>
      <c r="E72" s="2" t="s">
        <v>15</v>
      </c>
      <c r="F72" s="1">
        <v>2404020004</v>
      </c>
      <c r="G72" s="2" t="s">
        <v>30</v>
      </c>
      <c r="H72" s="1">
        <v>24040201301</v>
      </c>
      <c r="I72" s="2" t="s">
        <v>31</v>
      </c>
      <c r="J72" s="1">
        <v>3</v>
      </c>
      <c r="K72" s="2" t="s">
        <v>12</v>
      </c>
      <c r="L72" s="1">
        <v>2</v>
      </c>
      <c r="M72" s="2" t="s">
        <v>166</v>
      </c>
      <c r="N72" s="2" t="s">
        <v>13</v>
      </c>
      <c r="O72" s="1">
        <v>222</v>
      </c>
      <c r="P72" s="1">
        <v>218</v>
      </c>
      <c r="Q72" s="1">
        <v>4</v>
      </c>
      <c r="R72" s="1">
        <v>128</v>
      </c>
      <c r="S72" s="1">
        <v>58</v>
      </c>
      <c r="T72" s="1">
        <v>31</v>
      </c>
      <c r="U72" s="1">
        <v>1</v>
      </c>
      <c r="V72" s="2">
        <f t="shared" si="5"/>
        <v>1.834862385321101E-2</v>
      </c>
      <c r="W72" s="2">
        <f t="shared" si="6"/>
        <v>58.715596330275233</v>
      </c>
      <c r="X72" s="2">
        <f t="shared" si="7"/>
        <v>14.220183486238533</v>
      </c>
      <c r="Y72" s="2">
        <f t="shared" si="8"/>
        <v>0.45871559633027525</v>
      </c>
      <c r="Z72" s="2">
        <f t="shared" si="9"/>
        <v>26.605504587155966</v>
      </c>
    </row>
    <row r="73" spans="1:26" x14ac:dyDescent="0.3">
      <c r="A73" s="2" t="s">
        <v>181</v>
      </c>
      <c r="B73" s="1">
        <v>2404</v>
      </c>
      <c r="C73" s="2" t="s">
        <v>11</v>
      </c>
      <c r="D73" s="1">
        <v>240402</v>
      </c>
      <c r="E73" s="2" t="s">
        <v>15</v>
      </c>
      <c r="F73" s="1">
        <v>2404020010</v>
      </c>
      <c r="G73" s="2" t="s">
        <v>20</v>
      </c>
      <c r="H73" s="1">
        <v>24040201501</v>
      </c>
      <c r="I73" s="2" t="s">
        <v>32</v>
      </c>
      <c r="J73" s="1">
        <v>3</v>
      </c>
      <c r="K73" s="2" t="s">
        <v>12</v>
      </c>
      <c r="L73" s="1">
        <v>2</v>
      </c>
      <c r="M73" s="2" t="s">
        <v>166</v>
      </c>
      <c r="N73" s="2" t="s">
        <v>13</v>
      </c>
      <c r="O73" s="1">
        <v>442</v>
      </c>
      <c r="P73" s="1">
        <v>429</v>
      </c>
      <c r="Q73" s="1">
        <v>13</v>
      </c>
      <c r="R73" s="1">
        <v>307</v>
      </c>
      <c r="S73" s="1">
        <v>85</v>
      </c>
      <c r="T73" s="1">
        <v>30</v>
      </c>
      <c r="U73" s="1">
        <v>7</v>
      </c>
      <c r="V73" s="2">
        <f t="shared" si="5"/>
        <v>3.0303030303030304E-2</v>
      </c>
      <c r="W73" s="2">
        <f t="shared" si="6"/>
        <v>71.561771561771565</v>
      </c>
      <c r="X73" s="2">
        <f t="shared" si="7"/>
        <v>6.9930069930069934</v>
      </c>
      <c r="Y73" s="2">
        <f t="shared" si="8"/>
        <v>1.6317016317016315</v>
      </c>
      <c r="Z73" s="2">
        <f t="shared" si="9"/>
        <v>19.813519813519815</v>
      </c>
    </row>
    <row r="74" spans="1:26" x14ac:dyDescent="0.3">
      <c r="A74" s="2" t="s">
        <v>181</v>
      </c>
      <c r="B74" s="1">
        <v>2404</v>
      </c>
      <c r="C74" s="2" t="s">
        <v>11</v>
      </c>
      <c r="D74" s="1">
        <v>240402</v>
      </c>
      <c r="E74" s="2" t="s">
        <v>15</v>
      </c>
      <c r="F74" s="1">
        <v>2404020014</v>
      </c>
      <c r="G74" s="2" t="s">
        <v>28</v>
      </c>
      <c r="H74" s="1">
        <v>24040201701</v>
      </c>
      <c r="I74" s="2" t="s">
        <v>33</v>
      </c>
      <c r="J74" s="1">
        <v>3</v>
      </c>
      <c r="K74" s="2" t="s">
        <v>12</v>
      </c>
      <c r="L74" s="1">
        <v>2</v>
      </c>
      <c r="M74" s="2" t="s">
        <v>166</v>
      </c>
      <c r="N74" s="2" t="s">
        <v>13</v>
      </c>
      <c r="O74" s="1">
        <v>105</v>
      </c>
      <c r="P74" s="1">
        <v>100</v>
      </c>
      <c r="Q74" s="1">
        <v>5</v>
      </c>
      <c r="R74" s="1">
        <v>44</v>
      </c>
      <c r="S74" s="1">
        <v>21</v>
      </c>
      <c r="T74" s="1">
        <v>25</v>
      </c>
      <c r="U74" s="1">
        <v>10</v>
      </c>
      <c r="V74" s="2">
        <f t="shared" si="5"/>
        <v>0.05</v>
      </c>
      <c r="W74" s="2">
        <f t="shared" si="6"/>
        <v>44</v>
      </c>
      <c r="X74" s="2">
        <f t="shared" si="7"/>
        <v>25</v>
      </c>
      <c r="Y74" s="2">
        <f t="shared" si="8"/>
        <v>10</v>
      </c>
      <c r="Z74" s="2">
        <f t="shared" si="9"/>
        <v>21</v>
      </c>
    </row>
    <row r="75" spans="1:26" x14ac:dyDescent="0.3">
      <c r="A75" s="2" t="s">
        <v>181</v>
      </c>
      <c r="B75" s="1">
        <v>2404</v>
      </c>
      <c r="C75" s="2" t="s">
        <v>11</v>
      </c>
      <c r="D75" s="1">
        <v>240402</v>
      </c>
      <c r="E75" s="2" t="s">
        <v>15</v>
      </c>
      <c r="F75" s="1">
        <v>2404020007</v>
      </c>
      <c r="G75" s="2" t="s">
        <v>16</v>
      </c>
      <c r="H75" s="1">
        <v>24040202001</v>
      </c>
      <c r="I75" s="2" t="s">
        <v>36</v>
      </c>
      <c r="J75" s="1">
        <v>3</v>
      </c>
      <c r="K75" s="2" t="s">
        <v>12</v>
      </c>
      <c r="L75" s="1">
        <v>2</v>
      </c>
      <c r="M75" s="2" t="s">
        <v>166</v>
      </c>
      <c r="N75" s="2" t="s">
        <v>13</v>
      </c>
      <c r="O75" s="1">
        <v>363</v>
      </c>
      <c r="P75" s="1">
        <v>359</v>
      </c>
      <c r="Q75" s="1">
        <v>4</v>
      </c>
      <c r="R75" s="1">
        <v>197</v>
      </c>
      <c r="S75" s="1">
        <v>74</v>
      </c>
      <c r="T75" s="1">
        <v>51</v>
      </c>
      <c r="U75" s="1">
        <v>37</v>
      </c>
      <c r="V75" s="2">
        <f t="shared" si="5"/>
        <v>1.1142061281337047E-2</v>
      </c>
      <c r="W75" s="2">
        <f t="shared" si="6"/>
        <v>54.874651810584965</v>
      </c>
      <c r="X75" s="2">
        <f t="shared" si="7"/>
        <v>14.206128133704734</v>
      </c>
      <c r="Y75" s="2">
        <f t="shared" si="8"/>
        <v>10.30640668523677</v>
      </c>
      <c r="Z75" s="2">
        <f t="shared" si="9"/>
        <v>20.612813370473539</v>
      </c>
    </row>
    <row r="76" spans="1:26" x14ac:dyDescent="0.3">
      <c r="A76" s="2" t="s">
        <v>181</v>
      </c>
      <c r="B76" s="1">
        <v>2404</v>
      </c>
      <c r="C76" s="2" t="s">
        <v>11</v>
      </c>
      <c r="D76" s="1">
        <v>240402</v>
      </c>
      <c r="E76" s="2" t="s">
        <v>15</v>
      </c>
      <c r="F76" s="1">
        <v>2404020012</v>
      </c>
      <c r="G76" s="2" t="s">
        <v>37</v>
      </c>
      <c r="H76" s="1">
        <v>24040202101</v>
      </c>
      <c r="I76" s="2" t="s">
        <v>14</v>
      </c>
      <c r="J76" s="1">
        <v>3</v>
      </c>
      <c r="K76" s="2" t="s">
        <v>12</v>
      </c>
      <c r="L76" s="1">
        <v>2</v>
      </c>
      <c r="M76" s="2" t="s">
        <v>166</v>
      </c>
      <c r="N76" s="2" t="s">
        <v>13</v>
      </c>
      <c r="O76" s="1">
        <v>238</v>
      </c>
      <c r="P76" s="1">
        <v>228</v>
      </c>
      <c r="Q76" s="1">
        <v>10</v>
      </c>
      <c r="R76" s="1">
        <v>131</v>
      </c>
      <c r="S76" s="1">
        <v>56</v>
      </c>
      <c r="T76" s="1">
        <v>33</v>
      </c>
      <c r="U76" s="1">
        <v>8</v>
      </c>
      <c r="V76" s="2">
        <f t="shared" si="5"/>
        <v>4.3859649122807015E-2</v>
      </c>
      <c r="W76" s="2">
        <f t="shared" si="6"/>
        <v>57.456140350877192</v>
      </c>
      <c r="X76" s="2">
        <f t="shared" si="7"/>
        <v>14.473684210526317</v>
      </c>
      <c r="Y76" s="2">
        <f t="shared" si="8"/>
        <v>3.5087719298245612</v>
      </c>
      <c r="Z76" s="2">
        <f t="shared" si="9"/>
        <v>24.561403508771928</v>
      </c>
    </row>
    <row r="77" spans="1:26" x14ac:dyDescent="0.3">
      <c r="A77" s="2" t="s">
        <v>181</v>
      </c>
      <c r="B77" s="1">
        <v>2404</v>
      </c>
      <c r="C77" s="2" t="s">
        <v>11</v>
      </c>
      <c r="D77" s="1">
        <v>240402</v>
      </c>
      <c r="E77" s="2" t="s">
        <v>15</v>
      </c>
      <c r="F77" s="1">
        <v>2404020012</v>
      </c>
      <c r="G77" s="2" t="s">
        <v>37</v>
      </c>
      <c r="H77" s="1">
        <v>24040202401</v>
      </c>
      <c r="I77" s="2" t="s">
        <v>38</v>
      </c>
      <c r="J77" s="1">
        <v>3</v>
      </c>
      <c r="K77" s="2" t="s">
        <v>12</v>
      </c>
      <c r="L77" s="1">
        <v>2</v>
      </c>
      <c r="M77" s="2" t="s">
        <v>166</v>
      </c>
      <c r="N77" s="2" t="s">
        <v>13</v>
      </c>
      <c r="O77" s="1">
        <v>270</v>
      </c>
      <c r="P77" s="1">
        <v>261</v>
      </c>
      <c r="Q77" s="1">
        <v>9</v>
      </c>
      <c r="R77" s="1">
        <v>199</v>
      </c>
      <c r="S77" s="1">
        <v>36</v>
      </c>
      <c r="T77" s="1">
        <v>20</v>
      </c>
      <c r="U77" s="1">
        <v>6</v>
      </c>
      <c r="V77" s="2">
        <f t="shared" si="5"/>
        <v>3.4482758620689655E-2</v>
      </c>
      <c r="W77" s="2">
        <f t="shared" si="6"/>
        <v>76.245210727969351</v>
      </c>
      <c r="X77" s="2">
        <f t="shared" si="7"/>
        <v>7.6628352490421454</v>
      </c>
      <c r="Y77" s="2">
        <f t="shared" si="8"/>
        <v>2.2988505747126435</v>
      </c>
      <c r="Z77" s="2">
        <f t="shared" si="9"/>
        <v>13.793103448275861</v>
      </c>
    </row>
    <row r="78" spans="1:26" x14ac:dyDescent="0.3">
      <c r="A78" s="2" t="s">
        <v>181</v>
      </c>
      <c r="B78" s="1">
        <v>2404</v>
      </c>
      <c r="C78" s="2" t="s">
        <v>11</v>
      </c>
      <c r="D78" s="1">
        <v>240402</v>
      </c>
      <c r="E78" s="2" t="s">
        <v>15</v>
      </c>
      <c r="F78" s="1">
        <v>2404020004</v>
      </c>
      <c r="G78" s="2" t="s">
        <v>30</v>
      </c>
      <c r="H78" s="1">
        <v>24040203201</v>
      </c>
      <c r="I78" s="2" t="s">
        <v>43</v>
      </c>
      <c r="J78" s="1">
        <v>3</v>
      </c>
      <c r="K78" s="2" t="s">
        <v>12</v>
      </c>
      <c r="L78" s="1">
        <v>2</v>
      </c>
      <c r="M78" s="2" t="s">
        <v>166</v>
      </c>
      <c r="N78" s="2" t="s">
        <v>13</v>
      </c>
      <c r="O78" s="1">
        <v>145</v>
      </c>
      <c r="P78" s="1">
        <v>140</v>
      </c>
      <c r="Q78" s="1">
        <v>5</v>
      </c>
      <c r="R78" s="1">
        <v>66</v>
      </c>
      <c r="S78" s="1">
        <v>31</v>
      </c>
      <c r="T78" s="1">
        <v>37</v>
      </c>
      <c r="U78" s="1">
        <v>6</v>
      </c>
      <c r="V78" s="2">
        <f t="shared" si="5"/>
        <v>3.5714285714285712E-2</v>
      </c>
      <c r="W78" s="2">
        <f t="shared" si="6"/>
        <v>47.142857142857139</v>
      </c>
      <c r="X78" s="2">
        <f t="shared" si="7"/>
        <v>26.428571428571431</v>
      </c>
      <c r="Y78" s="2">
        <f t="shared" si="8"/>
        <v>4.2857142857142856</v>
      </c>
      <c r="Z78" s="2">
        <f t="shared" si="9"/>
        <v>22.142857142857142</v>
      </c>
    </row>
    <row r="79" spans="1:26" x14ac:dyDescent="0.3">
      <c r="A79" s="2" t="s">
        <v>181</v>
      </c>
      <c r="B79" s="1">
        <v>2404</v>
      </c>
      <c r="C79" s="2" t="s">
        <v>11</v>
      </c>
      <c r="D79" s="1">
        <v>240402</v>
      </c>
      <c r="E79" s="2" t="s">
        <v>15</v>
      </c>
      <c r="F79" s="1">
        <v>2404020009</v>
      </c>
      <c r="G79" s="2" t="s">
        <v>34</v>
      </c>
      <c r="H79" s="1">
        <v>24040204201</v>
      </c>
      <c r="I79" s="2" t="s">
        <v>47</v>
      </c>
      <c r="J79" s="1">
        <v>3</v>
      </c>
      <c r="K79" s="2" t="s">
        <v>12</v>
      </c>
      <c r="L79" s="1">
        <v>2</v>
      </c>
      <c r="M79" s="2" t="s">
        <v>166</v>
      </c>
      <c r="N79" s="2" t="s">
        <v>13</v>
      </c>
      <c r="O79" s="1">
        <v>324</v>
      </c>
      <c r="P79" s="1">
        <v>321</v>
      </c>
      <c r="Q79" s="1">
        <v>3</v>
      </c>
      <c r="R79" s="1">
        <v>64</v>
      </c>
      <c r="S79" s="1">
        <v>94</v>
      </c>
      <c r="T79" s="1">
        <v>96</v>
      </c>
      <c r="U79" s="1">
        <v>67</v>
      </c>
      <c r="V79" s="2">
        <f t="shared" si="5"/>
        <v>9.3457943925233638E-3</v>
      </c>
      <c r="W79" s="2">
        <f t="shared" si="6"/>
        <v>19.937694704049843</v>
      </c>
      <c r="X79" s="2">
        <f t="shared" si="7"/>
        <v>29.906542056074763</v>
      </c>
      <c r="Y79" s="2">
        <f t="shared" si="8"/>
        <v>20.872274143302182</v>
      </c>
      <c r="Z79" s="2">
        <f t="shared" si="9"/>
        <v>29.283489096573206</v>
      </c>
    </row>
    <row r="80" spans="1:26" x14ac:dyDescent="0.3">
      <c r="A80" s="2" t="s">
        <v>181</v>
      </c>
      <c r="B80" s="1">
        <v>2404</v>
      </c>
      <c r="C80" s="2" t="s">
        <v>11</v>
      </c>
      <c r="D80" s="1">
        <v>240402</v>
      </c>
      <c r="E80" s="2" t="s">
        <v>15</v>
      </c>
      <c r="F80" s="1">
        <v>2404020001</v>
      </c>
      <c r="G80" s="2" t="s">
        <v>26</v>
      </c>
      <c r="H80" s="1">
        <v>24040204601</v>
      </c>
      <c r="I80" s="2" t="s">
        <v>50</v>
      </c>
      <c r="J80" s="1">
        <v>3</v>
      </c>
      <c r="K80" s="2" t="s">
        <v>12</v>
      </c>
      <c r="L80" s="1">
        <v>2</v>
      </c>
      <c r="M80" s="2" t="s">
        <v>166</v>
      </c>
      <c r="N80" s="2" t="s">
        <v>13</v>
      </c>
      <c r="O80" s="1">
        <v>326</v>
      </c>
      <c r="P80" s="1">
        <v>317</v>
      </c>
      <c r="Q80" s="1">
        <v>9</v>
      </c>
      <c r="R80" s="1">
        <v>280</v>
      </c>
      <c r="S80" s="1">
        <v>30</v>
      </c>
      <c r="T80" s="1">
        <v>7</v>
      </c>
      <c r="U80" s="1">
        <v>0</v>
      </c>
      <c r="V80" s="2">
        <f t="shared" si="5"/>
        <v>2.8391167192429023E-2</v>
      </c>
      <c r="W80" s="2">
        <f t="shared" si="6"/>
        <v>88.328075709779171</v>
      </c>
      <c r="X80" s="2">
        <f t="shared" si="7"/>
        <v>2.2082018927444795</v>
      </c>
      <c r="Y80" s="2">
        <f t="shared" si="8"/>
        <v>0</v>
      </c>
      <c r="Z80" s="2">
        <f t="shared" si="9"/>
        <v>9.4637223974763405</v>
      </c>
    </row>
    <row r="81" spans="1:26" x14ac:dyDescent="0.3">
      <c r="A81" s="2" t="s">
        <v>181</v>
      </c>
      <c r="B81" s="1">
        <v>2404</v>
      </c>
      <c r="C81" s="2" t="s">
        <v>11</v>
      </c>
      <c r="D81" s="1">
        <v>240402</v>
      </c>
      <c r="E81" s="2" t="s">
        <v>15</v>
      </c>
      <c r="F81" s="1">
        <v>2404020007</v>
      </c>
      <c r="G81" s="2" t="s">
        <v>16</v>
      </c>
      <c r="H81" s="1">
        <v>24040204901</v>
      </c>
      <c r="I81" s="2" t="s">
        <v>51</v>
      </c>
      <c r="J81" s="1">
        <v>3</v>
      </c>
      <c r="K81" s="2" t="s">
        <v>12</v>
      </c>
      <c r="L81" s="1">
        <v>2</v>
      </c>
      <c r="M81" s="2" t="s">
        <v>166</v>
      </c>
      <c r="N81" s="2" t="s">
        <v>13</v>
      </c>
      <c r="O81" s="1">
        <v>577</v>
      </c>
      <c r="P81" s="1">
        <v>570</v>
      </c>
      <c r="Q81" s="1">
        <v>7</v>
      </c>
      <c r="R81" s="1">
        <v>402</v>
      </c>
      <c r="S81" s="1">
        <v>101</v>
      </c>
      <c r="T81" s="1">
        <v>51</v>
      </c>
      <c r="U81" s="1">
        <v>16</v>
      </c>
      <c r="V81" s="2">
        <f t="shared" si="5"/>
        <v>1.2280701754385965E-2</v>
      </c>
      <c r="W81" s="2">
        <f t="shared" si="6"/>
        <v>70.526315789473685</v>
      </c>
      <c r="X81" s="2">
        <f t="shared" si="7"/>
        <v>8.9473684210526319</v>
      </c>
      <c r="Y81" s="2">
        <f t="shared" si="8"/>
        <v>2.807017543859649</v>
      </c>
      <c r="Z81" s="2">
        <f t="shared" si="9"/>
        <v>17.719298245614034</v>
      </c>
    </row>
    <row r="82" spans="1:26" x14ac:dyDescent="0.3">
      <c r="A82" s="2" t="s">
        <v>181</v>
      </c>
      <c r="B82" s="1">
        <v>2404</v>
      </c>
      <c r="C82" s="2" t="s">
        <v>11</v>
      </c>
      <c r="D82" s="1">
        <v>240402</v>
      </c>
      <c r="E82" s="2" t="s">
        <v>15</v>
      </c>
      <c r="F82" s="1">
        <v>2404020007</v>
      </c>
      <c r="G82" s="2" t="s">
        <v>16</v>
      </c>
      <c r="H82" s="1">
        <v>24040205001</v>
      </c>
      <c r="I82" s="2" t="s">
        <v>52</v>
      </c>
      <c r="J82" s="1">
        <v>3</v>
      </c>
      <c r="K82" s="2" t="s">
        <v>12</v>
      </c>
      <c r="L82" s="1">
        <v>2</v>
      </c>
      <c r="M82" s="2" t="s">
        <v>166</v>
      </c>
      <c r="N82" s="2" t="s">
        <v>13</v>
      </c>
      <c r="O82" s="1">
        <v>371</v>
      </c>
      <c r="P82" s="1">
        <v>368</v>
      </c>
      <c r="Q82" s="1">
        <v>3</v>
      </c>
      <c r="R82" s="1">
        <v>250</v>
      </c>
      <c r="S82" s="1">
        <v>80</v>
      </c>
      <c r="T82" s="1">
        <v>34</v>
      </c>
      <c r="U82" s="1">
        <v>4</v>
      </c>
      <c r="V82" s="2">
        <f t="shared" si="5"/>
        <v>8.152173913043478E-3</v>
      </c>
      <c r="W82" s="2">
        <f t="shared" si="6"/>
        <v>67.934782608695656</v>
      </c>
      <c r="X82" s="2">
        <f t="shared" si="7"/>
        <v>9.2391304347826075</v>
      </c>
      <c r="Y82" s="2">
        <f t="shared" si="8"/>
        <v>1.0869565217391304</v>
      </c>
      <c r="Z82" s="2">
        <f t="shared" si="9"/>
        <v>21.739130434782609</v>
      </c>
    </row>
    <row r="83" spans="1:26" x14ac:dyDescent="0.3">
      <c r="A83" s="2" t="s">
        <v>181</v>
      </c>
      <c r="B83" s="1">
        <v>2404</v>
      </c>
      <c r="C83" s="2" t="s">
        <v>11</v>
      </c>
      <c r="D83" s="1">
        <v>240402</v>
      </c>
      <c r="E83" s="2" t="s">
        <v>15</v>
      </c>
      <c r="F83" s="1">
        <v>2404020004</v>
      </c>
      <c r="G83" s="2" t="s">
        <v>30</v>
      </c>
      <c r="H83" s="1">
        <v>24040205801</v>
      </c>
      <c r="I83" s="2" t="s">
        <v>156</v>
      </c>
      <c r="J83" s="1">
        <v>3</v>
      </c>
      <c r="K83" s="2" t="s">
        <v>12</v>
      </c>
      <c r="L83" s="1">
        <v>2</v>
      </c>
      <c r="M83" s="2" t="s">
        <v>166</v>
      </c>
      <c r="N83" s="2" t="s">
        <v>13</v>
      </c>
      <c r="O83" s="1">
        <v>431</v>
      </c>
      <c r="P83" s="1">
        <v>421</v>
      </c>
      <c r="Q83" s="1">
        <v>10</v>
      </c>
      <c r="R83" s="1">
        <v>183</v>
      </c>
      <c r="S83" s="1">
        <v>137</v>
      </c>
      <c r="T83" s="1">
        <v>89</v>
      </c>
      <c r="U83" s="1">
        <v>12</v>
      </c>
      <c r="V83" s="2">
        <f t="shared" si="5"/>
        <v>2.3752969121140142E-2</v>
      </c>
      <c r="W83" s="2">
        <f t="shared" si="6"/>
        <v>43.467933491686459</v>
      </c>
      <c r="X83" s="2">
        <f t="shared" si="7"/>
        <v>21.140142517814727</v>
      </c>
      <c r="Y83" s="2">
        <f t="shared" si="8"/>
        <v>2.8503562945368173</v>
      </c>
      <c r="Z83" s="2">
        <f t="shared" si="9"/>
        <v>32.541567695961994</v>
      </c>
    </row>
    <row r="84" spans="1:26" x14ac:dyDescent="0.3">
      <c r="A84" s="2" t="s">
        <v>181</v>
      </c>
      <c r="B84" s="1">
        <v>2404</v>
      </c>
      <c r="C84" s="2" t="s">
        <v>11</v>
      </c>
      <c r="D84" s="1">
        <v>240402</v>
      </c>
      <c r="E84" s="2" t="s">
        <v>15</v>
      </c>
      <c r="F84" s="1">
        <v>2404020008</v>
      </c>
      <c r="G84" s="2" t="s">
        <v>18</v>
      </c>
      <c r="H84" s="1">
        <v>24040206201</v>
      </c>
      <c r="I84" s="2" t="s">
        <v>157</v>
      </c>
      <c r="J84" s="1">
        <v>3</v>
      </c>
      <c r="K84" s="2" t="s">
        <v>12</v>
      </c>
      <c r="L84" s="1">
        <v>2</v>
      </c>
      <c r="M84" s="2" t="s">
        <v>166</v>
      </c>
      <c r="N84" s="2" t="s">
        <v>13</v>
      </c>
      <c r="O84" s="1">
        <v>366</v>
      </c>
      <c r="P84" s="1">
        <v>356</v>
      </c>
      <c r="Q84" s="1">
        <v>10</v>
      </c>
      <c r="R84" s="1">
        <v>172</v>
      </c>
      <c r="S84" s="1">
        <v>118</v>
      </c>
      <c r="T84" s="1">
        <v>63</v>
      </c>
      <c r="U84" s="1">
        <v>3</v>
      </c>
      <c r="V84" s="2">
        <f t="shared" si="5"/>
        <v>2.8089887640449437E-2</v>
      </c>
      <c r="W84" s="2">
        <f t="shared" si="6"/>
        <v>48.314606741573037</v>
      </c>
      <c r="X84" s="2">
        <f t="shared" si="7"/>
        <v>17.696629213483146</v>
      </c>
      <c r="Y84" s="2">
        <f t="shared" si="8"/>
        <v>0.84269662921348309</v>
      </c>
      <c r="Z84" s="2">
        <f t="shared" si="9"/>
        <v>33.146067415730336</v>
      </c>
    </row>
    <row r="85" spans="1:26" x14ac:dyDescent="0.3">
      <c r="A85" s="2" t="s">
        <v>181</v>
      </c>
      <c r="B85" s="1">
        <v>2404</v>
      </c>
      <c r="C85" s="2" t="s">
        <v>11</v>
      </c>
      <c r="D85" s="1">
        <v>240402</v>
      </c>
      <c r="E85" s="2" t="s">
        <v>15</v>
      </c>
      <c r="F85" s="1">
        <v>2404020003</v>
      </c>
      <c r="G85" s="2" t="s">
        <v>45</v>
      </c>
      <c r="H85" s="1">
        <v>24040206401</v>
      </c>
      <c r="I85" s="2" t="s">
        <v>158</v>
      </c>
      <c r="J85" s="1">
        <v>3</v>
      </c>
      <c r="K85" s="2" t="s">
        <v>12</v>
      </c>
      <c r="L85" s="1">
        <v>2</v>
      </c>
      <c r="M85" s="2" t="s">
        <v>166</v>
      </c>
      <c r="N85" s="2" t="s">
        <v>13</v>
      </c>
      <c r="O85" s="1">
        <v>238</v>
      </c>
      <c r="P85" s="1">
        <v>228</v>
      </c>
      <c r="Q85" s="1">
        <v>10</v>
      </c>
      <c r="R85" s="1">
        <v>104</v>
      </c>
      <c r="S85" s="1">
        <v>56</v>
      </c>
      <c r="T85" s="1">
        <v>53</v>
      </c>
      <c r="U85" s="1">
        <v>15</v>
      </c>
      <c r="V85" s="2">
        <f t="shared" si="5"/>
        <v>4.3859649122807015E-2</v>
      </c>
      <c r="W85" s="2">
        <f t="shared" si="6"/>
        <v>45.614035087719294</v>
      </c>
      <c r="X85" s="2">
        <f t="shared" si="7"/>
        <v>23.245614035087719</v>
      </c>
      <c r="Y85" s="2">
        <f t="shared" si="8"/>
        <v>6.5789473684210522</v>
      </c>
      <c r="Z85" s="2">
        <f t="shared" si="9"/>
        <v>24.561403508771928</v>
      </c>
    </row>
    <row r="86" spans="1:26" x14ac:dyDescent="0.3">
      <c r="A86" s="2" t="s">
        <v>181</v>
      </c>
      <c r="B86" s="1">
        <v>2404</v>
      </c>
      <c r="C86" s="2" t="s">
        <v>11</v>
      </c>
      <c r="D86" s="1">
        <v>240402</v>
      </c>
      <c r="E86" s="2" t="s">
        <v>15</v>
      </c>
      <c r="F86" s="1">
        <v>2404020005</v>
      </c>
      <c r="G86" s="2" t="s">
        <v>83</v>
      </c>
      <c r="H86" s="1">
        <v>24040206501</v>
      </c>
      <c r="I86" s="2" t="s">
        <v>159</v>
      </c>
      <c r="J86" s="1">
        <v>3</v>
      </c>
      <c r="K86" s="2" t="s">
        <v>12</v>
      </c>
      <c r="L86" s="1">
        <v>2</v>
      </c>
      <c r="M86" s="2" t="s">
        <v>166</v>
      </c>
      <c r="N86" s="2" t="s">
        <v>13</v>
      </c>
      <c r="O86" s="1">
        <v>218</v>
      </c>
      <c r="P86" s="1">
        <v>212</v>
      </c>
      <c r="Q86" s="1">
        <v>6</v>
      </c>
      <c r="R86" s="1">
        <v>153</v>
      </c>
      <c r="S86" s="1">
        <v>23</v>
      </c>
      <c r="T86" s="1">
        <v>27</v>
      </c>
      <c r="U86" s="1">
        <v>9</v>
      </c>
      <c r="V86" s="2">
        <f t="shared" si="5"/>
        <v>2.8301886792452831E-2</v>
      </c>
      <c r="W86" s="2">
        <f t="shared" si="6"/>
        <v>72.169811320754718</v>
      </c>
      <c r="X86" s="2">
        <f t="shared" si="7"/>
        <v>12.735849056603774</v>
      </c>
      <c r="Y86" s="2">
        <f t="shared" si="8"/>
        <v>4.2452830188679247</v>
      </c>
      <c r="Z86" s="2">
        <f t="shared" si="9"/>
        <v>10.849056603773585</v>
      </c>
    </row>
    <row r="87" spans="1:26" x14ac:dyDescent="0.3">
      <c r="A87" s="2" t="s">
        <v>181</v>
      </c>
      <c r="B87" s="1">
        <v>2404</v>
      </c>
      <c r="C87" s="2" t="s">
        <v>11</v>
      </c>
      <c r="D87" s="1">
        <v>240402</v>
      </c>
      <c r="E87" s="2" t="s">
        <v>15</v>
      </c>
      <c r="F87" s="1">
        <v>2404020007</v>
      </c>
      <c r="G87" s="2" t="s">
        <v>16</v>
      </c>
      <c r="H87" s="1">
        <v>24040207101</v>
      </c>
      <c r="I87" s="2" t="s">
        <v>59</v>
      </c>
      <c r="J87" s="1">
        <v>3</v>
      </c>
      <c r="K87" s="2" t="s">
        <v>12</v>
      </c>
      <c r="L87" s="1">
        <v>2</v>
      </c>
      <c r="M87" s="2" t="s">
        <v>166</v>
      </c>
      <c r="N87" s="2" t="s">
        <v>13</v>
      </c>
      <c r="O87" s="1">
        <v>406</v>
      </c>
      <c r="P87" s="1">
        <v>398</v>
      </c>
      <c r="Q87" s="1">
        <v>8</v>
      </c>
      <c r="R87" s="1">
        <v>297</v>
      </c>
      <c r="S87" s="1">
        <v>71</v>
      </c>
      <c r="T87" s="1">
        <v>29</v>
      </c>
      <c r="U87" s="1">
        <v>1</v>
      </c>
      <c r="V87" s="2">
        <f t="shared" si="5"/>
        <v>2.0100502512562814E-2</v>
      </c>
      <c r="W87" s="2">
        <f t="shared" si="6"/>
        <v>74.623115577889436</v>
      </c>
      <c r="X87" s="2">
        <f t="shared" si="7"/>
        <v>7.2864321608040195</v>
      </c>
      <c r="Y87" s="2">
        <f t="shared" si="8"/>
        <v>0.25125628140703515</v>
      </c>
      <c r="Z87" s="2">
        <f t="shared" si="9"/>
        <v>17.839195979899497</v>
      </c>
    </row>
    <row r="88" spans="1:26" x14ac:dyDescent="0.3">
      <c r="A88" s="2" t="s">
        <v>181</v>
      </c>
      <c r="B88" s="1">
        <v>2404</v>
      </c>
      <c r="C88" s="2" t="s">
        <v>11</v>
      </c>
      <c r="D88" s="1">
        <v>240402</v>
      </c>
      <c r="E88" s="2" t="s">
        <v>15</v>
      </c>
      <c r="F88" s="1">
        <v>2404020001</v>
      </c>
      <c r="G88" s="2" t="s">
        <v>26</v>
      </c>
      <c r="H88" s="1">
        <v>24040207201</v>
      </c>
      <c r="I88" s="2" t="s">
        <v>60</v>
      </c>
      <c r="J88" s="1">
        <v>3</v>
      </c>
      <c r="K88" s="2" t="s">
        <v>12</v>
      </c>
      <c r="L88" s="1">
        <v>2</v>
      </c>
      <c r="M88" s="2" t="s">
        <v>166</v>
      </c>
      <c r="N88" s="2" t="s">
        <v>13</v>
      </c>
      <c r="O88" s="1">
        <v>191</v>
      </c>
      <c r="P88" s="1">
        <v>188</v>
      </c>
      <c r="Q88" s="1">
        <v>3</v>
      </c>
      <c r="R88" s="1">
        <v>122</v>
      </c>
      <c r="S88" s="1">
        <v>32</v>
      </c>
      <c r="T88" s="1">
        <v>24</v>
      </c>
      <c r="U88" s="1">
        <v>10</v>
      </c>
      <c r="V88" s="2">
        <f t="shared" si="5"/>
        <v>1.5957446808510637E-2</v>
      </c>
      <c r="W88" s="2">
        <f t="shared" si="6"/>
        <v>64.893617021276597</v>
      </c>
      <c r="X88" s="2">
        <f t="shared" si="7"/>
        <v>12.76595744680851</v>
      </c>
      <c r="Y88" s="2">
        <f t="shared" si="8"/>
        <v>5.3191489361702127</v>
      </c>
      <c r="Z88" s="2">
        <f t="shared" si="9"/>
        <v>17.021276595744681</v>
      </c>
    </row>
    <row r="89" spans="1:26" x14ac:dyDescent="0.3">
      <c r="A89" s="2" t="s">
        <v>181</v>
      </c>
      <c r="B89" s="1">
        <v>2404</v>
      </c>
      <c r="C89" s="2" t="s">
        <v>11</v>
      </c>
      <c r="D89" s="1">
        <v>240402</v>
      </c>
      <c r="E89" s="2" t="s">
        <v>15</v>
      </c>
      <c r="F89" s="1">
        <v>2404020003</v>
      </c>
      <c r="G89" s="2" t="s">
        <v>45</v>
      </c>
      <c r="H89" s="1">
        <v>24040207401</v>
      </c>
      <c r="I89" s="2" t="s">
        <v>62</v>
      </c>
      <c r="J89" s="1">
        <v>3</v>
      </c>
      <c r="K89" s="2" t="s">
        <v>12</v>
      </c>
      <c r="L89" s="1">
        <v>2</v>
      </c>
      <c r="M89" s="2" t="s">
        <v>166</v>
      </c>
      <c r="N89" s="2" t="s">
        <v>13</v>
      </c>
      <c r="O89" s="1">
        <v>146</v>
      </c>
      <c r="P89" s="1">
        <v>142</v>
      </c>
      <c r="Q89" s="1">
        <v>4</v>
      </c>
      <c r="R89" s="1">
        <v>81</v>
      </c>
      <c r="S89" s="1">
        <v>43</v>
      </c>
      <c r="T89" s="1">
        <v>15</v>
      </c>
      <c r="U89" s="1">
        <v>3</v>
      </c>
      <c r="V89" s="2">
        <f t="shared" si="5"/>
        <v>2.8169014084507043E-2</v>
      </c>
      <c r="W89" s="2">
        <f t="shared" si="6"/>
        <v>57.04225352112676</v>
      </c>
      <c r="X89" s="2">
        <f t="shared" si="7"/>
        <v>10.56338028169014</v>
      </c>
      <c r="Y89" s="2">
        <f t="shared" si="8"/>
        <v>2.112676056338028</v>
      </c>
      <c r="Z89" s="2">
        <f t="shared" si="9"/>
        <v>30.281690140845068</v>
      </c>
    </row>
    <row r="90" spans="1:26" x14ac:dyDescent="0.3">
      <c r="A90" s="2" t="s">
        <v>181</v>
      </c>
      <c r="B90" s="1">
        <v>2404</v>
      </c>
      <c r="C90" s="2" t="s">
        <v>11</v>
      </c>
      <c r="D90" s="1">
        <v>240402</v>
      </c>
      <c r="E90" s="2" t="s">
        <v>15</v>
      </c>
      <c r="F90" s="1">
        <v>2404020011</v>
      </c>
      <c r="G90" s="2" t="s">
        <v>48</v>
      </c>
      <c r="H90" s="1">
        <v>24040207901</v>
      </c>
      <c r="I90" s="2" t="s">
        <v>66</v>
      </c>
      <c r="J90" s="1">
        <v>3</v>
      </c>
      <c r="K90" s="2" t="s">
        <v>12</v>
      </c>
      <c r="L90" s="1">
        <v>2</v>
      </c>
      <c r="M90" s="2" t="s">
        <v>166</v>
      </c>
      <c r="N90" s="2" t="s">
        <v>13</v>
      </c>
      <c r="O90" s="1">
        <v>170</v>
      </c>
      <c r="P90" s="1">
        <v>153</v>
      </c>
      <c r="Q90" s="1">
        <v>17</v>
      </c>
      <c r="R90" s="1">
        <v>86</v>
      </c>
      <c r="S90" s="1">
        <v>28</v>
      </c>
      <c r="T90" s="1">
        <v>32</v>
      </c>
      <c r="U90" s="1">
        <v>7</v>
      </c>
      <c r="V90" s="2">
        <f t="shared" si="5"/>
        <v>0.1111111111111111</v>
      </c>
      <c r="W90" s="2">
        <f t="shared" si="6"/>
        <v>56.209150326797385</v>
      </c>
      <c r="X90" s="2">
        <f t="shared" si="7"/>
        <v>20.915032679738562</v>
      </c>
      <c r="Y90" s="2">
        <f t="shared" si="8"/>
        <v>4.5751633986928102</v>
      </c>
      <c r="Z90" s="2">
        <f t="shared" si="9"/>
        <v>18.300653594771241</v>
      </c>
    </row>
    <row r="91" spans="1:26" x14ac:dyDescent="0.3">
      <c r="A91" s="2" t="s">
        <v>181</v>
      </c>
      <c r="B91" s="1">
        <v>2404</v>
      </c>
      <c r="C91" s="2" t="s">
        <v>11</v>
      </c>
      <c r="D91" s="1">
        <v>240402</v>
      </c>
      <c r="E91" s="2" t="s">
        <v>15</v>
      </c>
      <c r="F91" s="1">
        <v>2404020012</v>
      </c>
      <c r="G91" s="2" t="s">
        <v>37</v>
      </c>
      <c r="H91" s="1">
        <v>24040208401</v>
      </c>
      <c r="I91" s="2" t="s">
        <v>69</v>
      </c>
      <c r="J91" s="1">
        <v>3</v>
      </c>
      <c r="K91" s="2" t="s">
        <v>12</v>
      </c>
      <c r="L91" s="1">
        <v>2</v>
      </c>
      <c r="M91" s="2" t="s">
        <v>166</v>
      </c>
      <c r="N91" s="2" t="s">
        <v>13</v>
      </c>
      <c r="O91" s="1">
        <v>135</v>
      </c>
      <c r="P91" s="1">
        <v>128</v>
      </c>
      <c r="Q91" s="1">
        <v>7</v>
      </c>
      <c r="R91" s="1">
        <v>78</v>
      </c>
      <c r="S91" s="1">
        <v>24</v>
      </c>
      <c r="T91" s="1">
        <v>22</v>
      </c>
      <c r="U91" s="1">
        <v>4</v>
      </c>
      <c r="V91" s="2">
        <f t="shared" si="5"/>
        <v>5.46875E-2</v>
      </c>
      <c r="W91" s="2">
        <f t="shared" si="6"/>
        <v>60.9375</v>
      </c>
      <c r="X91" s="2">
        <f t="shared" si="7"/>
        <v>17.1875</v>
      </c>
      <c r="Y91" s="2">
        <f t="shared" si="8"/>
        <v>3.125</v>
      </c>
      <c r="Z91" s="2">
        <f t="shared" si="9"/>
        <v>18.75</v>
      </c>
    </row>
    <row r="92" spans="1:26" x14ac:dyDescent="0.3">
      <c r="A92" s="2" t="s">
        <v>181</v>
      </c>
      <c r="B92" s="1">
        <v>2404</v>
      </c>
      <c r="C92" s="2" t="s">
        <v>11</v>
      </c>
      <c r="D92" s="1">
        <v>240402</v>
      </c>
      <c r="E92" s="2" t="s">
        <v>15</v>
      </c>
      <c r="F92" s="1">
        <v>2404020007</v>
      </c>
      <c r="G92" s="2" t="s">
        <v>16</v>
      </c>
      <c r="H92" s="1">
        <v>24040208601</v>
      </c>
      <c r="I92" s="2" t="s">
        <v>71</v>
      </c>
      <c r="J92" s="1">
        <v>3</v>
      </c>
      <c r="K92" s="2" t="s">
        <v>12</v>
      </c>
      <c r="L92" s="1">
        <v>2</v>
      </c>
      <c r="M92" s="2" t="s">
        <v>166</v>
      </c>
      <c r="N92" s="2" t="s">
        <v>13</v>
      </c>
      <c r="O92" s="1">
        <v>251</v>
      </c>
      <c r="P92" s="1">
        <v>241</v>
      </c>
      <c r="Q92" s="1">
        <v>10</v>
      </c>
      <c r="R92" s="1">
        <v>102</v>
      </c>
      <c r="S92" s="1">
        <v>56</v>
      </c>
      <c r="T92" s="1">
        <v>59</v>
      </c>
      <c r="U92" s="1">
        <v>24</v>
      </c>
      <c r="V92" s="2">
        <f t="shared" si="5"/>
        <v>4.1493775933609957E-2</v>
      </c>
      <c r="W92" s="2">
        <f t="shared" si="6"/>
        <v>42.323651452282157</v>
      </c>
      <c r="X92" s="2">
        <f t="shared" si="7"/>
        <v>24.481327800829874</v>
      </c>
      <c r="Y92" s="2">
        <f t="shared" si="8"/>
        <v>9.9585062240663902</v>
      </c>
      <c r="Z92" s="2">
        <f t="shared" si="9"/>
        <v>23.236514522821576</v>
      </c>
    </row>
    <row r="93" spans="1:26" x14ac:dyDescent="0.3">
      <c r="A93" s="2" t="s">
        <v>181</v>
      </c>
      <c r="B93" s="1">
        <v>2404</v>
      </c>
      <c r="C93" s="2" t="s">
        <v>11</v>
      </c>
      <c r="D93" s="1">
        <v>240402</v>
      </c>
      <c r="E93" s="2" t="s">
        <v>15</v>
      </c>
      <c r="F93" s="1">
        <v>2404020002</v>
      </c>
      <c r="G93" s="2" t="s">
        <v>64</v>
      </c>
      <c r="H93" s="1">
        <v>24040208801</v>
      </c>
      <c r="I93" s="2" t="s">
        <v>72</v>
      </c>
      <c r="J93" s="1">
        <v>3</v>
      </c>
      <c r="K93" s="2" t="s">
        <v>12</v>
      </c>
      <c r="L93" s="1">
        <v>2</v>
      </c>
      <c r="M93" s="2" t="s">
        <v>166</v>
      </c>
      <c r="N93" s="2" t="s">
        <v>13</v>
      </c>
      <c r="O93" s="1">
        <v>103</v>
      </c>
      <c r="P93" s="1">
        <v>97</v>
      </c>
      <c r="Q93" s="1">
        <v>6</v>
      </c>
      <c r="R93" s="1">
        <v>34</v>
      </c>
      <c r="S93" s="1">
        <v>35</v>
      </c>
      <c r="T93" s="1">
        <v>21</v>
      </c>
      <c r="U93" s="1">
        <v>7</v>
      </c>
      <c r="V93" s="2">
        <f t="shared" si="5"/>
        <v>6.1855670103092786E-2</v>
      </c>
      <c r="W93" s="2">
        <f t="shared" si="6"/>
        <v>35.051546391752574</v>
      </c>
      <c r="X93" s="2">
        <f t="shared" si="7"/>
        <v>21.649484536082475</v>
      </c>
      <c r="Y93" s="2">
        <f t="shared" si="8"/>
        <v>7.216494845360824</v>
      </c>
      <c r="Z93" s="2">
        <f t="shared" si="9"/>
        <v>36.082474226804123</v>
      </c>
    </row>
    <row r="94" spans="1:26" x14ac:dyDescent="0.3">
      <c r="A94" s="2" t="s">
        <v>181</v>
      </c>
      <c r="B94" s="1">
        <v>2404</v>
      </c>
      <c r="C94" s="2" t="s">
        <v>11</v>
      </c>
      <c r="D94" s="1">
        <v>240402</v>
      </c>
      <c r="E94" s="2" t="s">
        <v>15</v>
      </c>
      <c r="F94" s="1">
        <v>2404020011</v>
      </c>
      <c r="G94" s="2" t="s">
        <v>48</v>
      </c>
      <c r="H94" s="1">
        <v>24040208901</v>
      </c>
      <c r="I94" s="2" t="s">
        <v>73</v>
      </c>
      <c r="J94" s="1">
        <v>3</v>
      </c>
      <c r="K94" s="2" t="s">
        <v>12</v>
      </c>
      <c r="L94" s="1">
        <v>2</v>
      </c>
      <c r="M94" s="2" t="s">
        <v>166</v>
      </c>
      <c r="N94" s="2" t="s">
        <v>13</v>
      </c>
      <c r="O94" s="1">
        <v>292</v>
      </c>
      <c r="P94" s="1">
        <v>272</v>
      </c>
      <c r="Q94" s="1">
        <v>20</v>
      </c>
      <c r="R94" s="1">
        <v>172</v>
      </c>
      <c r="S94" s="1">
        <v>60</v>
      </c>
      <c r="T94" s="1">
        <v>31</v>
      </c>
      <c r="U94" s="1">
        <v>9</v>
      </c>
      <c r="V94" s="2">
        <f t="shared" si="5"/>
        <v>7.3529411764705885E-2</v>
      </c>
      <c r="W94" s="2">
        <f t="shared" si="6"/>
        <v>63.235294117647058</v>
      </c>
      <c r="X94" s="2">
        <f t="shared" si="7"/>
        <v>11.397058823529411</v>
      </c>
      <c r="Y94" s="2">
        <f t="shared" si="8"/>
        <v>3.3088235294117649</v>
      </c>
      <c r="Z94" s="2">
        <f t="shared" si="9"/>
        <v>22.058823529411764</v>
      </c>
    </row>
    <row r="95" spans="1:26" x14ac:dyDescent="0.3">
      <c r="A95" s="2" t="s">
        <v>181</v>
      </c>
      <c r="B95" s="1">
        <v>2404</v>
      </c>
      <c r="C95" s="2" t="s">
        <v>11</v>
      </c>
      <c r="D95" s="1">
        <v>240402</v>
      </c>
      <c r="E95" s="2" t="s">
        <v>15</v>
      </c>
      <c r="F95" s="1">
        <v>2404020009</v>
      </c>
      <c r="G95" s="2" t="s">
        <v>34</v>
      </c>
      <c r="H95" s="1">
        <v>24040209001</v>
      </c>
      <c r="I95" s="2" t="s">
        <v>74</v>
      </c>
      <c r="J95" s="1">
        <v>3</v>
      </c>
      <c r="K95" s="2" t="s">
        <v>12</v>
      </c>
      <c r="L95" s="1">
        <v>2</v>
      </c>
      <c r="M95" s="2" t="s">
        <v>166</v>
      </c>
      <c r="N95" s="2" t="s">
        <v>13</v>
      </c>
      <c r="O95" s="1">
        <v>378</v>
      </c>
      <c r="P95" s="1">
        <v>366</v>
      </c>
      <c r="Q95" s="1">
        <v>12</v>
      </c>
      <c r="R95" s="1">
        <v>133</v>
      </c>
      <c r="S95" s="1">
        <v>125</v>
      </c>
      <c r="T95" s="1">
        <v>87</v>
      </c>
      <c r="U95" s="1">
        <v>21</v>
      </c>
      <c r="V95" s="2">
        <f t="shared" si="5"/>
        <v>3.2786885245901641E-2</v>
      </c>
      <c r="W95" s="2">
        <f t="shared" si="6"/>
        <v>36.338797814207652</v>
      </c>
      <c r="X95" s="2">
        <f t="shared" si="7"/>
        <v>23.770491803278688</v>
      </c>
      <c r="Y95" s="2">
        <f t="shared" si="8"/>
        <v>5.7377049180327866</v>
      </c>
      <c r="Z95" s="2">
        <f t="shared" si="9"/>
        <v>34.15300546448087</v>
      </c>
    </row>
    <row r="96" spans="1:26" x14ac:dyDescent="0.3">
      <c r="A96" s="2" t="s">
        <v>181</v>
      </c>
      <c r="B96" s="1">
        <v>2404</v>
      </c>
      <c r="C96" s="2" t="s">
        <v>11</v>
      </c>
      <c r="D96" s="1">
        <v>240402</v>
      </c>
      <c r="E96" s="2" t="s">
        <v>15</v>
      </c>
      <c r="F96" s="1">
        <v>2404020008</v>
      </c>
      <c r="G96" s="2" t="s">
        <v>18</v>
      </c>
      <c r="H96" s="1">
        <v>24040209301</v>
      </c>
      <c r="I96" s="2" t="s">
        <v>76</v>
      </c>
      <c r="J96" s="1">
        <v>3</v>
      </c>
      <c r="K96" s="2" t="s">
        <v>12</v>
      </c>
      <c r="L96" s="1">
        <v>2</v>
      </c>
      <c r="M96" s="2" t="s">
        <v>166</v>
      </c>
      <c r="N96" s="2" t="s">
        <v>13</v>
      </c>
      <c r="O96" s="1">
        <v>109</v>
      </c>
      <c r="P96" s="1">
        <v>105</v>
      </c>
      <c r="Q96" s="1">
        <v>4</v>
      </c>
      <c r="R96" s="1">
        <v>60</v>
      </c>
      <c r="S96" s="1">
        <v>25</v>
      </c>
      <c r="T96" s="1">
        <v>16</v>
      </c>
      <c r="U96" s="1">
        <v>4</v>
      </c>
      <c r="V96" s="2">
        <f t="shared" si="5"/>
        <v>3.8095238095238099E-2</v>
      </c>
      <c r="W96" s="2">
        <f t="shared" si="6"/>
        <v>57.142857142857139</v>
      </c>
      <c r="X96" s="2">
        <f t="shared" si="7"/>
        <v>15.238095238095239</v>
      </c>
      <c r="Y96" s="2">
        <f t="shared" si="8"/>
        <v>3.8095238095238098</v>
      </c>
      <c r="Z96" s="2">
        <f t="shared" si="9"/>
        <v>23.809523809523807</v>
      </c>
    </row>
    <row r="97" spans="1:26" x14ac:dyDescent="0.3">
      <c r="A97" s="2" t="s">
        <v>181</v>
      </c>
      <c r="B97" s="1">
        <v>2404</v>
      </c>
      <c r="C97" s="2" t="s">
        <v>11</v>
      </c>
      <c r="D97" s="1">
        <v>240402</v>
      </c>
      <c r="E97" s="2" t="s">
        <v>15</v>
      </c>
      <c r="F97" s="1">
        <v>2404020011</v>
      </c>
      <c r="G97" s="2" t="s">
        <v>48</v>
      </c>
      <c r="H97" s="1">
        <v>24040209702</v>
      </c>
      <c r="I97" s="2" t="s">
        <v>80</v>
      </c>
      <c r="J97" s="1">
        <v>3</v>
      </c>
      <c r="K97" s="2" t="s">
        <v>12</v>
      </c>
      <c r="L97" s="1">
        <v>2</v>
      </c>
      <c r="M97" s="2" t="s">
        <v>166</v>
      </c>
      <c r="N97" s="2" t="s">
        <v>13</v>
      </c>
      <c r="O97" s="1">
        <v>311</v>
      </c>
      <c r="P97" s="1">
        <v>297</v>
      </c>
      <c r="Q97" s="1">
        <v>14</v>
      </c>
      <c r="R97" s="1">
        <v>200</v>
      </c>
      <c r="S97" s="1">
        <v>78</v>
      </c>
      <c r="T97" s="1">
        <v>19</v>
      </c>
      <c r="U97" s="1">
        <v>0</v>
      </c>
      <c r="V97" s="2">
        <f t="shared" si="5"/>
        <v>4.7138047138047139E-2</v>
      </c>
      <c r="W97" s="2">
        <f t="shared" si="6"/>
        <v>67.34006734006735</v>
      </c>
      <c r="X97" s="2">
        <f t="shared" si="7"/>
        <v>6.3973063973063971</v>
      </c>
      <c r="Y97" s="2">
        <f t="shared" si="8"/>
        <v>0</v>
      </c>
      <c r="Z97" s="2">
        <f t="shared" si="9"/>
        <v>26.262626262626267</v>
      </c>
    </row>
    <row r="98" spans="1:26" x14ac:dyDescent="0.3">
      <c r="A98" s="2" t="s">
        <v>181</v>
      </c>
      <c r="B98" s="1">
        <v>2404</v>
      </c>
      <c r="C98" s="2" t="s">
        <v>11</v>
      </c>
      <c r="D98" s="1">
        <v>240402</v>
      </c>
      <c r="E98" s="2" t="s">
        <v>15</v>
      </c>
      <c r="F98" s="1">
        <v>2404020003</v>
      </c>
      <c r="G98" s="2" t="s">
        <v>45</v>
      </c>
      <c r="H98" s="1">
        <v>24040209901</v>
      </c>
      <c r="I98" s="2" t="s">
        <v>81</v>
      </c>
      <c r="J98" s="1">
        <v>3</v>
      </c>
      <c r="K98" s="2" t="s">
        <v>12</v>
      </c>
      <c r="L98" s="1">
        <v>2</v>
      </c>
      <c r="M98" s="2" t="s">
        <v>166</v>
      </c>
      <c r="N98" s="2" t="s">
        <v>13</v>
      </c>
      <c r="O98" s="1">
        <v>245</v>
      </c>
      <c r="P98" s="1">
        <v>237</v>
      </c>
      <c r="Q98" s="1">
        <v>8</v>
      </c>
      <c r="R98" s="1">
        <v>74</v>
      </c>
      <c r="S98" s="1">
        <v>72</v>
      </c>
      <c r="T98" s="1">
        <v>72</v>
      </c>
      <c r="U98" s="1">
        <v>19</v>
      </c>
      <c r="V98" s="2">
        <f t="shared" si="5"/>
        <v>3.3755274261603373E-2</v>
      </c>
      <c r="W98" s="2">
        <f t="shared" si="6"/>
        <v>31.223628691983123</v>
      </c>
      <c r="X98" s="2">
        <f t="shared" si="7"/>
        <v>30.37974683544304</v>
      </c>
      <c r="Y98" s="2">
        <f t="shared" si="8"/>
        <v>8.0168776371308024</v>
      </c>
      <c r="Z98" s="2">
        <f t="shared" si="9"/>
        <v>30.37974683544304</v>
      </c>
    </row>
    <row r="99" spans="1:26" x14ac:dyDescent="0.3">
      <c r="A99" s="2" t="s">
        <v>181</v>
      </c>
      <c r="B99" s="1">
        <v>2404</v>
      </c>
      <c r="C99" s="2" t="s">
        <v>11</v>
      </c>
      <c r="D99" s="1">
        <v>240402</v>
      </c>
      <c r="E99" s="2" t="s">
        <v>15</v>
      </c>
      <c r="F99" s="1">
        <v>2404020011</v>
      </c>
      <c r="G99" s="2" t="s">
        <v>48</v>
      </c>
      <c r="H99" s="1">
        <v>24040210301</v>
      </c>
      <c r="I99" s="2" t="s">
        <v>85</v>
      </c>
      <c r="J99" s="1">
        <v>3</v>
      </c>
      <c r="K99" s="2" t="s">
        <v>12</v>
      </c>
      <c r="L99" s="1">
        <v>2</v>
      </c>
      <c r="M99" s="2" t="s">
        <v>166</v>
      </c>
      <c r="N99" s="2" t="s">
        <v>13</v>
      </c>
      <c r="O99" s="1">
        <v>178</v>
      </c>
      <c r="P99" s="1">
        <v>168</v>
      </c>
      <c r="Q99" s="1">
        <v>10</v>
      </c>
      <c r="R99" s="1">
        <v>105</v>
      </c>
      <c r="S99" s="1">
        <v>40</v>
      </c>
      <c r="T99" s="1">
        <v>18</v>
      </c>
      <c r="U99" s="1">
        <v>5</v>
      </c>
      <c r="V99" s="2">
        <f t="shared" si="5"/>
        <v>5.9523809523809521E-2</v>
      </c>
      <c r="W99" s="2">
        <f t="shared" si="6"/>
        <v>62.5</v>
      </c>
      <c r="X99" s="2">
        <f t="shared" si="7"/>
        <v>10.714285714285714</v>
      </c>
      <c r="Y99" s="2">
        <f t="shared" si="8"/>
        <v>2.9761904761904758</v>
      </c>
      <c r="Z99" s="2">
        <f t="shared" si="9"/>
        <v>23.809523809523807</v>
      </c>
    </row>
    <row r="100" spans="1:26" x14ac:dyDescent="0.3">
      <c r="A100" s="2" t="s">
        <v>181</v>
      </c>
      <c r="B100" s="1">
        <v>2404</v>
      </c>
      <c r="C100" s="2" t="s">
        <v>11</v>
      </c>
      <c r="D100" s="1">
        <v>240402</v>
      </c>
      <c r="E100" s="2" t="s">
        <v>15</v>
      </c>
      <c r="F100" s="1">
        <v>2404020012</v>
      </c>
      <c r="G100" s="2" t="s">
        <v>37</v>
      </c>
      <c r="H100" s="1">
        <v>24040210802</v>
      </c>
      <c r="I100" s="2" t="s">
        <v>89</v>
      </c>
      <c r="J100" s="1">
        <v>3</v>
      </c>
      <c r="K100" s="2" t="s">
        <v>12</v>
      </c>
      <c r="L100" s="1">
        <v>2</v>
      </c>
      <c r="M100" s="2" t="s">
        <v>166</v>
      </c>
      <c r="N100" s="2" t="s">
        <v>13</v>
      </c>
      <c r="O100" s="1">
        <v>217</v>
      </c>
      <c r="P100" s="1">
        <v>213</v>
      </c>
      <c r="Q100" s="1">
        <v>4</v>
      </c>
      <c r="R100" s="1">
        <v>190</v>
      </c>
      <c r="S100" s="1">
        <v>10</v>
      </c>
      <c r="T100" s="1">
        <v>8</v>
      </c>
      <c r="U100" s="1">
        <v>5</v>
      </c>
      <c r="V100" s="2">
        <f t="shared" si="5"/>
        <v>1.8779342723004695E-2</v>
      </c>
      <c r="W100" s="2">
        <f t="shared" si="6"/>
        <v>89.201877934272304</v>
      </c>
      <c r="X100" s="2">
        <f t="shared" si="7"/>
        <v>3.755868544600939</v>
      </c>
      <c r="Y100" s="2">
        <f t="shared" si="8"/>
        <v>2.3474178403755865</v>
      </c>
      <c r="Z100" s="2">
        <f t="shared" si="9"/>
        <v>4.6948356807511731</v>
      </c>
    </row>
    <row r="101" spans="1:26" x14ac:dyDescent="0.3">
      <c r="A101" s="2" t="s">
        <v>181</v>
      </c>
      <c r="B101" s="1">
        <v>2404</v>
      </c>
      <c r="C101" s="2" t="s">
        <v>11</v>
      </c>
      <c r="D101" s="1">
        <v>240402</v>
      </c>
      <c r="E101" s="2" t="s">
        <v>15</v>
      </c>
      <c r="F101" s="1">
        <v>2404020012</v>
      </c>
      <c r="G101" s="2" t="s">
        <v>37</v>
      </c>
      <c r="H101" s="1">
        <v>24040210803</v>
      </c>
      <c r="I101" s="2" t="s">
        <v>90</v>
      </c>
      <c r="J101" s="1">
        <v>3</v>
      </c>
      <c r="K101" s="2" t="s">
        <v>12</v>
      </c>
      <c r="L101" s="1">
        <v>2</v>
      </c>
      <c r="M101" s="2" t="s">
        <v>166</v>
      </c>
      <c r="N101" s="2" t="s">
        <v>13</v>
      </c>
      <c r="O101" s="1">
        <v>118</v>
      </c>
      <c r="P101" s="1">
        <v>113</v>
      </c>
      <c r="Q101" s="1">
        <v>5</v>
      </c>
      <c r="R101" s="1">
        <v>35</v>
      </c>
      <c r="S101" s="1">
        <v>47</v>
      </c>
      <c r="T101" s="1">
        <v>18</v>
      </c>
      <c r="U101" s="1">
        <v>13</v>
      </c>
      <c r="V101" s="2">
        <f t="shared" si="5"/>
        <v>4.4247787610619468E-2</v>
      </c>
      <c r="W101" s="2">
        <f t="shared" si="6"/>
        <v>30.973451327433626</v>
      </c>
      <c r="X101" s="2">
        <f t="shared" si="7"/>
        <v>15.929203539823009</v>
      </c>
      <c r="Y101" s="2">
        <f t="shared" si="8"/>
        <v>11.504424778761061</v>
      </c>
      <c r="Z101" s="2">
        <f t="shared" si="9"/>
        <v>41.592920353982301</v>
      </c>
    </row>
    <row r="102" spans="1:26" x14ac:dyDescent="0.3">
      <c r="A102" s="2" t="s">
        <v>181</v>
      </c>
      <c r="B102" s="1">
        <v>2404</v>
      </c>
      <c r="C102" s="2" t="s">
        <v>11</v>
      </c>
      <c r="D102" s="1">
        <v>240402</v>
      </c>
      <c r="E102" s="2" t="s">
        <v>15</v>
      </c>
      <c r="F102" s="1">
        <v>2404020012</v>
      </c>
      <c r="G102" s="2" t="s">
        <v>37</v>
      </c>
      <c r="H102" s="1">
        <v>24040210804</v>
      </c>
      <c r="I102" s="2" t="s">
        <v>115</v>
      </c>
      <c r="J102" s="1">
        <v>3</v>
      </c>
      <c r="K102" s="2" t="s">
        <v>12</v>
      </c>
      <c r="L102" s="1">
        <v>2</v>
      </c>
      <c r="M102" s="2" t="s">
        <v>166</v>
      </c>
      <c r="N102" s="2" t="s">
        <v>13</v>
      </c>
      <c r="O102" s="1">
        <v>833</v>
      </c>
      <c r="P102" s="1">
        <v>818</v>
      </c>
      <c r="Q102" s="1">
        <v>15</v>
      </c>
      <c r="R102" s="1">
        <v>405</v>
      </c>
      <c r="S102" s="1">
        <v>228</v>
      </c>
      <c r="T102" s="1">
        <v>144</v>
      </c>
      <c r="U102" s="1">
        <v>41</v>
      </c>
      <c r="V102" s="2">
        <f t="shared" si="5"/>
        <v>1.8337408312958436E-2</v>
      </c>
      <c r="W102" s="2">
        <f t="shared" si="6"/>
        <v>49.511002444987774</v>
      </c>
      <c r="X102" s="2">
        <f t="shared" si="7"/>
        <v>17.603911980440099</v>
      </c>
      <c r="Y102" s="2">
        <f t="shared" si="8"/>
        <v>5.0122249388753062</v>
      </c>
      <c r="Z102" s="2">
        <f t="shared" si="9"/>
        <v>27.872860635696821</v>
      </c>
    </row>
    <row r="103" spans="1:26" x14ac:dyDescent="0.3">
      <c r="A103" s="2" t="s">
        <v>181</v>
      </c>
      <c r="B103" s="1">
        <v>2404</v>
      </c>
      <c r="C103" s="2" t="s">
        <v>11</v>
      </c>
      <c r="D103" s="1">
        <v>240402</v>
      </c>
      <c r="E103" s="2" t="s">
        <v>15</v>
      </c>
      <c r="F103" s="1">
        <v>2404020005</v>
      </c>
      <c r="G103" s="2" t="s">
        <v>83</v>
      </c>
      <c r="H103" s="1">
        <v>24040211001</v>
      </c>
      <c r="I103" s="2" t="s">
        <v>91</v>
      </c>
      <c r="J103" s="1">
        <v>3</v>
      </c>
      <c r="K103" s="2" t="s">
        <v>12</v>
      </c>
      <c r="L103" s="1">
        <v>2</v>
      </c>
      <c r="M103" s="2" t="s">
        <v>166</v>
      </c>
      <c r="N103" s="2" t="s">
        <v>13</v>
      </c>
      <c r="O103" s="1">
        <v>157</v>
      </c>
      <c r="P103" s="1">
        <v>153</v>
      </c>
      <c r="Q103" s="1">
        <v>4</v>
      </c>
      <c r="R103" s="1">
        <v>87</v>
      </c>
      <c r="S103" s="1">
        <v>37</v>
      </c>
      <c r="T103" s="1">
        <v>25</v>
      </c>
      <c r="U103" s="1">
        <v>4</v>
      </c>
      <c r="V103" s="2">
        <f t="shared" si="5"/>
        <v>2.6143790849673203E-2</v>
      </c>
      <c r="W103" s="2">
        <f t="shared" si="6"/>
        <v>56.862745098039213</v>
      </c>
      <c r="X103" s="2">
        <f t="shared" si="7"/>
        <v>16.33986928104575</v>
      </c>
      <c r="Y103" s="2">
        <f t="shared" si="8"/>
        <v>2.6143790849673203</v>
      </c>
      <c r="Z103" s="2">
        <f t="shared" si="9"/>
        <v>24.183006535947712</v>
      </c>
    </row>
    <row r="104" spans="1:26" x14ac:dyDescent="0.3">
      <c r="A104" s="2" t="s">
        <v>181</v>
      </c>
      <c r="B104" s="1">
        <v>2404</v>
      </c>
      <c r="C104" s="2" t="s">
        <v>11</v>
      </c>
      <c r="D104" s="1">
        <v>240402</v>
      </c>
      <c r="E104" s="2" t="s">
        <v>15</v>
      </c>
      <c r="F104" s="1">
        <v>2404020008</v>
      </c>
      <c r="G104" s="2" t="s">
        <v>18</v>
      </c>
      <c r="H104" s="1">
        <v>24040211301</v>
      </c>
      <c r="I104" s="2" t="s">
        <v>93</v>
      </c>
      <c r="J104" s="1">
        <v>3</v>
      </c>
      <c r="K104" s="2" t="s">
        <v>12</v>
      </c>
      <c r="L104" s="1">
        <v>2</v>
      </c>
      <c r="M104" s="2" t="s">
        <v>166</v>
      </c>
      <c r="N104" s="2" t="s">
        <v>13</v>
      </c>
      <c r="O104" s="1">
        <v>209</v>
      </c>
      <c r="P104" s="1">
        <v>205</v>
      </c>
      <c r="Q104" s="1">
        <v>4</v>
      </c>
      <c r="R104" s="1">
        <v>148</v>
      </c>
      <c r="S104" s="1">
        <v>28</v>
      </c>
      <c r="T104" s="1">
        <v>16</v>
      </c>
      <c r="U104" s="1">
        <v>13</v>
      </c>
      <c r="V104" s="2">
        <f t="shared" si="5"/>
        <v>1.9512195121951219E-2</v>
      </c>
      <c r="W104" s="2">
        <f t="shared" si="6"/>
        <v>72.195121951219505</v>
      </c>
      <c r="X104" s="2">
        <f t="shared" si="7"/>
        <v>7.8048780487804876</v>
      </c>
      <c r="Y104" s="2">
        <f t="shared" si="8"/>
        <v>6.3414634146341466</v>
      </c>
      <c r="Z104" s="2">
        <f t="shared" si="9"/>
        <v>13.658536585365855</v>
      </c>
    </row>
    <row r="105" spans="1:26" x14ac:dyDescent="0.3">
      <c r="A105" s="2" t="s">
        <v>181</v>
      </c>
      <c r="B105" s="1">
        <v>2404</v>
      </c>
      <c r="C105" s="2" t="s">
        <v>11</v>
      </c>
      <c r="D105" s="1">
        <v>240402</v>
      </c>
      <c r="E105" s="2" t="s">
        <v>15</v>
      </c>
      <c r="F105" s="1">
        <v>2404020012</v>
      </c>
      <c r="G105" s="2" t="s">
        <v>37</v>
      </c>
      <c r="H105" s="1">
        <v>24040212601</v>
      </c>
      <c r="I105" s="2" t="s">
        <v>99</v>
      </c>
      <c r="J105" s="1">
        <v>3</v>
      </c>
      <c r="K105" s="2" t="s">
        <v>12</v>
      </c>
      <c r="L105" s="1">
        <v>2</v>
      </c>
      <c r="M105" s="2" t="s">
        <v>166</v>
      </c>
      <c r="N105" s="2" t="s">
        <v>13</v>
      </c>
      <c r="O105" s="1">
        <v>295</v>
      </c>
      <c r="P105" s="1">
        <v>290</v>
      </c>
      <c r="Q105" s="1">
        <v>5</v>
      </c>
      <c r="R105" s="1">
        <v>94</v>
      </c>
      <c r="S105" s="1">
        <v>58</v>
      </c>
      <c r="T105" s="1">
        <v>69</v>
      </c>
      <c r="U105" s="1">
        <v>69</v>
      </c>
      <c r="V105" s="2">
        <f t="shared" si="5"/>
        <v>1.7241379310344827E-2</v>
      </c>
      <c r="W105" s="2">
        <f t="shared" si="6"/>
        <v>32.41379310344827</v>
      </c>
      <c r="X105" s="2">
        <f t="shared" si="7"/>
        <v>23.793103448275861</v>
      </c>
      <c r="Y105" s="2">
        <f t="shared" si="8"/>
        <v>23.793103448275861</v>
      </c>
      <c r="Z105" s="2">
        <f t="shared" si="9"/>
        <v>20</v>
      </c>
    </row>
    <row r="106" spans="1:26" x14ac:dyDescent="0.3">
      <c r="A106" s="2" t="s">
        <v>181</v>
      </c>
      <c r="B106" s="1">
        <v>2404</v>
      </c>
      <c r="C106" s="2" t="s">
        <v>11</v>
      </c>
      <c r="D106" s="1">
        <v>240402</v>
      </c>
      <c r="E106" s="2" t="s">
        <v>15</v>
      </c>
      <c r="F106" s="1">
        <v>2404020009</v>
      </c>
      <c r="G106" s="2" t="s">
        <v>34</v>
      </c>
      <c r="H106" s="1">
        <v>24040212801</v>
      </c>
      <c r="I106" s="2" t="s">
        <v>101</v>
      </c>
      <c r="J106" s="1">
        <v>3</v>
      </c>
      <c r="K106" s="2" t="s">
        <v>12</v>
      </c>
      <c r="L106" s="1">
        <v>2</v>
      </c>
      <c r="M106" s="2" t="s">
        <v>166</v>
      </c>
      <c r="N106" s="2" t="s">
        <v>13</v>
      </c>
      <c r="O106" s="1">
        <v>259</v>
      </c>
      <c r="P106" s="1">
        <v>256</v>
      </c>
      <c r="Q106" s="1">
        <v>3</v>
      </c>
      <c r="R106" s="1">
        <v>71</v>
      </c>
      <c r="S106" s="1">
        <v>69</v>
      </c>
      <c r="T106" s="1">
        <v>89</v>
      </c>
      <c r="U106" s="1">
        <v>27</v>
      </c>
      <c r="V106" s="2">
        <f t="shared" si="5"/>
        <v>1.171875E-2</v>
      </c>
      <c r="W106" s="2">
        <f t="shared" si="6"/>
        <v>27.734375</v>
      </c>
      <c r="X106" s="2">
        <f t="shared" si="7"/>
        <v>34.765625</v>
      </c>
      <c r="Y106" s="2">
        <f t="shared" si="8"/>
        <v>10.546875</v>
      </c>
      <c r="Z106" s="2">
        <f t="shared" si="9"/>
        <v>26.953125</v>
      </c>
    </row>
    <row r="107" spans="1:26" x14ac:dyDescent="0.3">
      <c r="A107" s="2" t="s">
        <v>181</v>
      </c>
      <c r="B107" s="1">
        <v>2404</v>
      </c>
      <c r="C107" s="2" t="s">
        <v>11</v>
      </c>
      <c r="D107" s="1">
        <v>240402</v>
      </c>
      <c r="E107" s="2" t="s">
        <v>15</v>
      </c>
      <c r="F107" s="1">
        <v>2404020001</v>
      </c>
      <c r="G107" s="2" t="s">
        <v>26</v>
      </c>
      <c r="H107" s="1">
        <v>24040213001</v>
      </c>
      <c r="I107" s="2" t="s">
        <v>102</v>
      </c>
      <c r="J107" s="1">
        <v>3</v>
      </c>
      <c r="K107" s="2" t="s">
        <v>12</v>
      </c>
      <c r="L107" s="1">
        <v>2</v>
      </c>
      <c r="M107" s="2" t="s">
        <v>166</v>
      </c>
      <c r="N107" s="2" t="s">
        <v>13</v>
      </c>
      <c r="O107" s="1">
        <v>321</v>
      </c>
      <c r="P107" s="1">
        <v>317</v>
      </c>
      <c r="Q107" s="1">
        <v>4</v>
      </c>
      <c r="R107" s="1">
        <v>69</v>
      </c>
      <c r="S107" s="1">
        <v>81</v>
      </c>
      <c r="T107" s="1">
        <v>119</v>
      </c>
      <c r="U107" s="1">
        <v>48</v>
      </c>
      <c r="V107" s="2">
        <f t="shared" si="5"/>
        <v>1.2618296529968454E-2</v>
      </c>
      <c r="W107" s="2">
        <f t="shared" si="6"/>
        <v>21.766561514195583</v>
      </c>
      <c r="X107" s="2">
        <f t="shared" si="7"/>
        <v>37.539432176656149</v>
      </c>
      <c r="Y107" s="2">
        <f t="shared" si="8"/>
        <v>15.141955835962145</v>
      </c>
      <c r="Z107" s="2">
        <f t="shared" si="9"/>
        <v>25.552050473186121</v>
      </c>
    </row>
    <row r="108" spans="1:26" x14ac:dyDescent="0.3">
      <c r="A108" s="2" t="s">
        <v>181</v>
      </c>
      <c r="B108" s="1">
        <v>2404</v>
      </c>
      <c r="C108" s="2" t="s">
        <v>11</v>
      </c>
      <c r="D108" s="1">
        <v>240402</v>
      </c>
      <c r="E108" s="2" t="s">
        <v>15</v>
      </c>
      <c r="F108" s="1">
        <v>2404020006</v>
      </c>
      <c r="G108" s="2" t="s">
        <v>56</v>
      </c>
      <c r="H108" s="1">
        <v>24040213501</v>
      </c>
      <c r="I108" s="2" t="s">
        <v>106</v>
      </c>
      <c r="J108" s="1">
        <v>3</v>
      </c>
      <c r="K108" s="2" t="s">
        <v>12</v>
      </c>
      <c r="L108" s="1">
        <v>2</v>
      </c>
      <c r="M108" s="2" t="s">
        <v>166</v>
      </c>
      <c r="N108" s="2" t="s">
        <v>13</v>
      </c>
      <c r="O108" s="1">
        <v>198</v>
      </c>
      <c r="P108" s="1">
        <v>195</v>
      </c>
      <c r="Q108" s="1">
        <v>3</v>
      </c>
      <c r="R108" s="1">
        <v>88</v>
      </c>
      <c r="S108" s="1">
        <v>54</v>
      </c>
      <c r="T108" s="1">
        <v>36</v>
      </c>
      <c r="U108" s="1">
        <v>17</v>
      </c>
      <c r="V108" s="2">
        <f t="shared" si="5"/>
        <v>1.5384615384615385E-2</v>
      </c>
      <c r="W108" s="2">
        <f t="shared" si="6"/>
        <v>45.128205128205131</v>
      </c>
      <c r="X108" s="2">
        <f t="shared" si="7"/>
        <v>18.461538461538463</v>
      </c>
      <c r="Y108" s="2">
        <f t="shared" si="8"/>
        <v>8.7179487179487172</v>
      </c>
      <c r="Z108" s="2">
        <f t="shared" si="9"/>
        <v>27.692307692307693</v>
      </c>
    </row>
    <row r="109" spans="1:26" x14ac:dyDescent="0.3">
      <c r="A109" s="2" t="s">
        <v>181</v>
      </c>
      <c r="B109" s="1">
        <v>2404</v>
      </c>
      <c r="C109" s="2" t="s">
        <v>11</v>
      </c>
      <c r="D109" s="1">
        <v>240402</v>
      </c>
      <c r="E109" s="2" t="s">
        <v>15</v>
      </c>
      <c r="F109" s="1">
        <v>2404020013</v>
      </c>
      <c r="G109" s="2" t="s">
        <v>23</v>
      </c>
      <c r="H109" s="1">
        <v>24040214201</v>
      </c>
      <c r="I109" s="2" t="s">
        <v>110</v>
      </c>
      <c r="J109" s="1">
        <v>3</v>
      </c>
      <c r="K109" s="2" t="s">
        <v>12</v>
      </c>
      <c r="L109" s="1">
        <v>2</v>
      </c>
      <c r="M109" s="2" t="s">
        <v>166</v>
      </c>
      <c r="N109" s="2" t="s">
        <v>13</v>
      </c>
      <c r="O109" s="1">
        <v>323</v>
      </c>
      <c r="P109" s="1">
        <v>320</v>
      </c>
      <c r="Q109" s="1">
        <v>3</v>
      </c>
      <c r="R109" s="1">
        <v>232</v>
      </c>
      <c r="S109" s="1">
        <v>58</v>
      </c>
      <c r="T109" s="1">
        <v>26</v>
      </c>
      <c r="U109" s="1">
        <v>4</v>
      </c>
      <c r="V109" s="2">
        <f t="shared" si="5"/>
        <v>9.3749999999999997E-3</v>
      </c>
      <c r="W109" s="2">
        <f t="shared" si="6"/>
        <v>72.5</v>
      </c>
      <c r="X109" s="2">
        <f t="shared" si="7"/>
        <v>8.125</v>
      </c>
      <c r="Y109" s="2">
        <f t="shared" si="8"/>
        <v>1.25</v>
      </c>
      <c r="Z109" s="2">
        <f t="shared" si="9"/>
        <v>18.125</v>
      </c>
    </row>
    <row r="110" spans="1:26" x14ac:dyDescent="0.3">
      <c r="A110" s="2" t="s">
        <v>181</v>
      </c>
      <c r="B110" s="1">
        <v>2404</v>
      </c>
      <c r="C110" s="2" t="s">
        <v>11</v>
      </c>
      <c r="D110" s="1">
        <v>240402</v>
      </c>
      <c r="E110" s="2" t="s">
        <v>15</v>
      </c>
      <c r="F110" s="1">
        <v>2404020012</v>
      </c>
      <c r="G110" s="2" t="s">
        <v>37</v>
      </c>
      <c r="H110" s="1">
        <v>24040214301</v>
      </c>
      <c r="I110" s="2" t="s">
        <v>111</v>
      </c>
      <c r="J110" s="1">
        <v>3</v>
      </c>
      <c r="K110" s="2" t="s">
        <v>12</v>
      </c>
      <c r="L110" s="1">
        <v>2</v>
      </c>
      <c r="M110" s="2" t="s">
        <v>166</v>
      </c>
      <c r="N110" s="2" t="s">
        <v>13</v>
      </c>
      <c r="O110" s="1">
        <v>326</v>
      </c>
      <c r="P110" s="1">
        <v>321</v>
      </c>
      <c r="Q110" s="1">
        <v>5</v>
      </c>
      <c r="R110" s="1">
        <v>217</v>
      </c>
      <c r="S110" s="1">
        <v>56</v>
      </c>
      <c r="T110" s="1">
        <v>39</v>
      </c>
      <c r="U110" s="1">
        <v>9</v>
      </c>
      <c r="V110" s="2">
        <f t="shared" si="5"/>
        <v>1.5576323987538941E-2</v>
      </c>
      <c r="W110" s="2">
        <f t="shared" si="6"/>
        <v>67.601246105919003</v>
      </c>
      <c r="X110" s="2">
        <f t="shared" si="7"/>
        <v>12.149532710280374</v>
      </c>
      <c r="Y110" s="2">
        <f t="shared" si="8"/>
        <v>2.8037383177570092</v>
      </c>
      <c r="Z110" s="2">
        <f t="shared" si="9"/>
        <v>17.445482866043612</v>
      </c>
    </row>
    <row r="111" spans="1:26" x14ac:dyDescent="0.3">
      <c r="A111" s="2" t="s">
        <v>181</v>
      </c>
      <c r="B111" s="1">
        <v>2404</v>
      </c>
      <c r="C111" s="2" t="s">
        <v>11</v>
      </c>
      <c r="D111" s="1">
        <v>240402</v>
      </c>
      <c r="E111" s="2" t="s">
        <v>15</v>
      </c>
      <c r="F111" s="1">
        <v>2404020007</v>
      </c>
      <c r="G111" s="2" t="s">
        <v>16</v>
      </c>
      <c r="H111" s="1">
        <v>24040201001</v>
      </c>
      <c r="I111" s="2" t="s">
        <v>25</v>
      </c>
      <c r="J111" s="1">
        <v>3</v>
      </c>
      <c r="K111" s="2" t="s">
        <v>12</v>
      </c>
      <c r="L111" s="1">
        <v>2</v>
      </c>
      <c r="M111" s="2" t="s">
        <v>166</v>
      </c>
      <c r="N111" s="2" t="s">
        <v>13</v>
      </c>
      <c r="O111" s="1">
        <v>201</v>
      </c>
      <c r="P111" s="1">
        <v>199</v>
      </c>
      <c r="Q111" s="1">
        <v>2</v>
      </c>
      <c r="R111" s="1">
        <v>133</v>
      </c>
      <c r="S111" s="1">
        <v>36</v>
      </c>
      <c r="T111" s="1">
        <v>20</v>
      </c>
      <c r="U111" s="1">
        <v>10</v>
      </c>
      <c r="V111" s="2">
        <f t="shared" si="5"/>
        <v>1.0050251256281407E-2</v>
      </c>
      <c r="W111" s="2">
        <f t="shared" si="6"/>
        <v>66.834170854271363</v>
      </c>
      <c r="X111" s="2">
        <f t="shared" si="7"/>
        <v>10.050251256281408</v>
      </c>
      <c r="Y111" s="2">
        <f t="shared" si="8"/>
        <v>5.025125628140704</v>
      </c>
      <c r="Z111" s="2">
        <f t="shared" si="9"/>
        <v>18.090452261306535</v>
      </c>
    </row>
    <row r="112" spans="1:26" x14ac:dyDescent="0.3">
      <c r="A112" s="2" t="s">
        <v>181</v>
      </c>
      <c r="B112" s="1">
        <v>2404</v>
      </c>
      <c r="C112" s="2" t="s">
        <v>11</v>
      </c>
      <c r="D112" s="1">
        <v>240402</v>
      </c>
      <c r="E112" s="2" t="s">
        <v>15</v>
      </c>
      <c r="F112" s="1">
        <v>2404020001</v>
      </c>
      <c r="G112" s="2" t="s">
        <v>26</v>
      </c>
      <c r="H112" s="1">
        <v>24040202802</v>
      </c>
      <c r="I112" s="2" t="s">
        <v>41</v>
      </c>
      <c r="J112" s="1">
        <v>3</v>
      </c>
      <c r="K112" s="2" t="s">
        <v>12</v>
      </c>
      <c r="L112" s="1">
        <v>2</v>
      </c>
      <c r="M112" s="2" t="s">
        <v>166</v>
      </c>
      <c r="N112" s="2" t="s">
        <v>13</v>
      </c>
      <c r="O112" s="1">
        <v>175</v>
      </c>
      <c r="P112" s="1">
        <v>173</v>
      </c>
      <c r="Q112" s="1">
        <v>2</v>
      </c>
      <c r="R112" s="1">
        <v>9</v>
      </c>
      <c r="S112" s="1">
        <v>46</v>
      </c>
      <c r="T112" s="1">
        <v>58</v>
      </c>
      <c r="U112" s="1">
        <v>60</v>
      </c>
      <c r="V112" s="2">
        <f t="shared" si="5"/>
        <v>1.1560693641618497E-2</v>
      </c>
      <c r="W112" s="2">
        <f t="shared" si="6"/>
        <v>5.202312138728324</v>
      </c>
      <c r="X112" s="2">
        <f t="shared" si="7"/>
        <v>33.52601156069364</v>
      </c>
      <c r="Y112" s="2">
        <f t="shared" si="8"/>
        <v>34.682080924855491</v>
      </c>
      <c r="Z112" s="2">
        <f t="shared" si="9"/>
        <v>26.589595375722542</v>
      </c>
    </row>
    <row r="113" spans="1:26" x14ac:dyDescent="0.3">
      <c r="A113" s="2" t="s">
        <v>181</v>
      </c>
      <c r="B113" s="1">
        <v>2404</v>
      </c>
      <c r="C113" s="2" t="s">
        <v>11</v>
      </c>
      <c r="D113" s="1">
        <v>240402</v>
      </c>
      <c r="E113" s="2" t="s">
        <v>15</v>
      </c>
      <c r="F113" s="1">
        <v>2404020009</v>
      </c>
      <c r="G113" s="2" t="s">
        <v>34</v>
      </c>
      <c r="H113" s="1">
        <v>24040205701</v>
      </c>
      <c r="I113" s="2" t="s">
        <v>54</v>
      </c>
      <c r="J113" s="1">
        <v>3</v>
      </c>
      <c r="K113" s="2" t="s">
        <v>12</v>
      </c>
      <c r="L113" s="1">
        <v>2</v>
      </c>
      <c r="M113" s="2" t="s">
        <v>166</v>
      </c>
      <c r="N113" s="2" t="s">
        <v>13</v>
      </c>
      <c r="O113" s="1">
        <v>121</v>
      </c>
      <c r="P113" s="1">
        <v>119</v>
      </c>
      <c r="Q113" s="1">
        <v>2</v>
      </c>
      <c r="R113" s="1">
        <v>32</v>
      </c>
      <c r="S113" s="1">
        <v>19</v>
      </c>
      <c r="T113" s="1">
        <v>35</v>
      </c>
      <c r="U113" s="1">
        <v>33</v>
      </c>
      <c r="V113" s="2">
        <f t="shared" si="5"/>
        <v>1.680672268907563E-2</v>
      </c>
      <c r="W113" s="2">
        <f t="shared" si="6"/>
        <v>26.890756302521009</v>
      </c>
      <c r="X113" s="2">
        <f t="shared" si="7"/>
        <v>29.411764705882355</v>
      </c>
      <c r="Y113" s="2">
        <f t="shared" si="8"/>
        <v>27.731092436974791</v>
      </c>
      <c r="Z113" s="2">
        <f t="shared" si="9"/>
        <v>15.966386554621847</v>
      </c>
    </row>
    <row r="114" spans="1:26" x14ac:dyDescent="0.3">
      <c r="A114" s="2" t="s">
        <v>181</v>
      </c>
      <c r="B114" s="1">
        <v>2404</v>
      </c>
      <c r="C114" s="2" t="s">
        <v>11</v>
      </c>
      <c r="D114" s="1">
        <v>240402</v>
      </c>
      <c r="E114" s="2" t="s">
        <v>15</v>
      </c>
      <c r="F114" s="1">
        <v>2404020010</v>
      </c>
      <c r="G114" s="2" t="s">
        <v>20</v>
      </c>
      <c r="H114" s="1">
        <v>24040207701</v>
      </c>
      <c r="I114" s="2" t="s">
        <v>163</v>
      </c>
      <c r="J114" s="1">
        <v>3</v>
      </c>
      <c r="K114" s="2" t="s">
        <v>12</v>
      </c>
      <c r="L114" s="1">
        <v>2</v>
      </c>
      <c r="M114" s="2" t="s">
        <v>166</v>
      </c>
      <c r="N114" s="2" t="s">
        <v>13</v>
      </c>
      <c r="O114" s="1">
        <v>91</v>
      </c>
      <c r="P114" s="1">
        <v>89</v>
      </c>
      <c r="Q114" s="1">
        <v>2</v>
      </c>
      <c r="R114" s="1">
        <v>40</v>
      </c>
      <c r="S114" s="1">
        <v>30</v>
      </c>
      <c r="T114" s="1">
        <v>17</v>
      </c>
      <c r="U114" s="1">
        <v>2</v>
      </c>
      <c r="V114" s="2">
        <f t="shared" si="5"/>
        <v>2.247191011235955E-2</v>
      </c>
      <c r="W114" s="2">
        <f t="shared" si="6"/>
        <v>44.943820224719097</v>
      </c>
      <c r="X114" s="2">
        <f t="shared" si="7"/>
        <v>19.101123595505616</v>
      </c>
      <c r="Y114" s="2">
        <f t="shared" si="8"/>
        <v>2.2471910112359552</v>
      </c>
      <c r="Z114" s="2">
        <f t="shared" si="9"/>
        <v>33.707865168539328</v>
      </c>
    </row>
    <row r="115" spans="1:26" x14ac:dyDescent="0.3">
      <c r="A115" s="2" t="s">
        <v>181</v>
      </c>
      <c r="B115" s="1">
        <v>2404</v>
      </c>
      <c r="C115" s="2" t="s">
        <v>11</v>
      </c>
      <c r="D115" s="1">
        <v>240402</v>
      </c>
      <c r="E115" s="2" t="s">
        <v>15</v>
      </c>
      <c r="F115" s="1">
        <v>2404020002</v>
      </c>
      <c r="G115" s="2" t="s">
        <v>64</v>
      </c>
      <c r="H115" s="1">
        <v>24040208501</v>
      </c>
      <c r="I115" s="2" t="s">
        <v>70</v>
      </c>
      <c r="J115" s="1">
        <v>3</v>
      </c>
      <c r="K115" s="2" t="s">
        <v>12</v>
      </c>
      <c r="L115" s="1">
        <v>2</v>
      </c>
      <c r="M115" s="2" t="s">
        <v>166</v>
      </c>
      <c r="N115" s="2" t="s">
        <v>13</v>
      </c>
      <c r="O115" s="1">
        <v>185</v>
      </c>
      <c r="P115" s="1">
        <v>183</v>
      </c>
      <c r="Q115" s="1">
        <v>2</v>
      </c>
      <c r="R115" s="1">
        <v>76</v>
      </c>
      <c r="S115" s="1">
        <v>42</v>
      </c>
      <c r="T115" s="1">
        <v>41</v>
      </c>
      <c r="U115" s="1">
        <v>24</v>
      </c>
      <c r="V115" s="2">
        <f t="shared" si="5"/>
        <v>1.092896174863388E-2</v>
      </c>
      <c r="W115" s="2">
        <f t="shared" si="6"/>
        <v>41.530054644808743</v>
      </c>
      <c r="X115" s="2">
        <f t="shared" si="7"/>
        <v>22.404371584699454</v>
      </c>
      <c r="Y115" s="2">
        <f t="shared" si="8"/>
        <v>13.114754098360656</v>
      </c>
      <c r="Z115" s="2">
        <f t="shared" si="9"/>
        <v>22.950819672131146</v>
      </c>
    </row>
    <row r="116" spans="1:26" x14ac:dyDescent="0.3">
      <c r="A116" s="2" t="s">
        <v>181</v>
      </c>
      <c r="B116" s="1">
        <v>2404</v>
      </c>
      <c r="C116" s="2" t="s">
        <v>11</v>
      </c>
      <c r="D116" s="1">
        <v>240402</v>
      </c>
      <c r="E116" s="2" t="s">
        <v>15</v>
      </c>
      <c r="F116" s="1">
        <v>2404020013</v>
      </c>
      <c r="G116" s="2" t="s">
        <v>23</v>
      </c>
      <c r="H116" s="1">
        <v>24040212501</v>
      </c>
      <c r="I116" s="2" t="s">
        <v>97</v>
      </c>
      <c r="J116" s="1">
        <v>3</v>
      </c>
      <c r="K116" s="2" t="s">
        <v>12</v>
      </c>
      <c r="L116" s="1">
        <v>2</v>
      </c>
      <c r="M116" s="2" t="s">
        <v>166</v>
      </c>
      <c r="N116" s="2" t="s">
        <v>13</v>
      </c>
      <c r="O116" s="1">
        <v>421</v>
      </c>
      <c r="P116" s="1">
        <v>419</v>
      </c>
      <c r="Q116" s="1">
        <v>2</v>
      </c>
      <c r="R116" s="1">
        <v>326</v>
      </c>
      <c r="S116" s="1">
        <v>40</v>
      </c>
      <c r="T116" s="1">
        <v>39</v>
      </c>
      <c r="U116" s="1">
        <v>14</v>
      </c>
      <c r="V116" s="2">
        <f t="shared" si="5"/>
        <v>4.7732696897374704E-3</v>
      </c>
      <c r="W116" s="2">
        <f t="shared" si="6"/>
        <v>77.804295942720771</v>
      </c>
      <c r="X116" s="2">
        <f t="shared" si="7"/>
        <v>9.3078758949880669</v>
      </c>
      <c r="Y116" s="2">
        <f t="shared" si="8"/>
        <v>3.3412887828162292</v>
      </c>
      <c r="Z116" s="2">
        <f t="shared" si="9"/>
        <v>9.5465393794749396</v>
      </c>
    </row>
    <row r="117" spans="1:26" x14ac:dyDescent="0.3">
      <c r="A117" s="2" t="s">
        <v>181</v>
      </c>
      <c r="B117" s="1">
        <v>2404</v>
      </c>
      <c r="C117" s="2" t="s">
        <v>11</v>
      </c>
      <c r="D117" s="1">
        <v>240402</v>
      </c>
      <c r="E117" s="2" t="s">
        <v>15</v>
      </c>
      <c r="F117" s="1">
        <v>2404020014</v>
      </c>
      <c r="G117" s="2" t="s">
        <v>28</v>
      </c>
      <c r="H117" s="1">
        <v>24040208101</v>
      </c>
      <c r="I117" s="2" t="s">
        <v>137</v>
      </c>
      <c r="J117" s="1">
        <v>3</v>
      </c>
      <c r="K117" s="2" t="s">
        <v>12</v>
      </c>
      <c r="L117" s="1">
        <v>2</v>
      </c>
      <c r="M117" s="2" t="s">
        <v>166</v>
      </c>
      <c r="N117" s="2" t="s">
        <v>113</v>
      </c>
      <c r="O117" s="1">
        <v>71</v>
      </c>
      <c r="P117" s="1">
        <v>70</v>
      </c>
      <c r="Q117" s="1">
        <v>1</v>
      </c>
      <c r="R117" s="1">
        <v>19</v>
      </c>
      <c r="S117" s="1">
        <v>17</v>
      </c>
      <c r="T117" s="1">
        <v>30</v>
      </c>
      <c r="U117" s="1">
        <v>4</v>
      </c>
      <c r="V117" s="2">
        <f t="shared" si="5"/>
        <v>1.4285714285714285E-2</v>
      </c>
      <c r="W117" s="2">
        <f t="shared" si="6"/>
        <v>27.142857142857142</v>
      </c>
      <c r="X117" s="2">
        <f t="shared" si="7"/>
        <v>42.857142857142854</v>
      </c>
      <c r="Y117" s="2">
        <f t="shared" si="8"/>
        <v>5.7142857142857144</v>
      </c>
      <c r="Z117" s="2">
        <f t="shared" si="9"/>
        <v>24.285714285714285</v>
      </c>
    </row>
    <row r="118" spans="1:26" x14ac:dyDescent="0.3">
      <c r="A118" s="2" t="s">
        <v>181</v>
      </c>
      <c r="B118" s="1">
        <v>2404</v>
      </c>
      <c r="C118" s="2" t="s">
        <v>11</v>
      </c>
      <c r="D118" s="1">
        <v>240402</v>
      </c>
      <c r="E118" s="2" t="s">
        <v>15</v>
      </c>
      <c r="F118" s="1">
        <v>2404020002</v>
      </c>
      <c r="G118" s="2" t="s">
        <v>64</v>
      </c>
      <c r="H118" s="1">
        <v>24040208102</v>
      </c>
      <c r="I118" s="2" t="s">
        <v>138</v>
      </c>
      <c r="J118" s="1">
        <v>3</v>
      </c>
      <c r="K118" s="2" t="s">
        <v>12</v>
      </c>
      <c r="L118" s="1">
        <v>2</v>
      </c>
      <c r="M118" s="2" t="s">
        <v>166</v>
      </c>
      <c r="N118" s="2" t="s">
        <v>113</v>
      </c>
      <c r="O118" s="1">
        <v>86</v>
      </c>
      <c r="P118" s="1">
        <v>85</v>
      </c>
      <c r="Q118" s="1">
        <v>1</v>
      </c>
      <c r="R118" s="1">
        <v>17</v>
      </c>
      <c r="S118" s="1">
        <v>35</v>
      </c>
      <c r="T118" s="1">
        <v>29</v>
      </c>
      <c r="U118" s="1">
        <v>4</v>
      </c>
      <c r="V118" s="2">
        <f t="shared" si="5"/>
        <v>1.1764705882352941E-2</v>
      </c>
      <c r="W118" s="2">
        <f t="shared" si="6"/>
        <v>20</v>
      </c>
      <c r="X118" s="2">
        <f t="shared" si="7"/>
        <v>34.117647058823529</v>
      </c>
      <c r="Y118" s="2">
        <f t="shared" si="8"/>
        <v>4.7058823529411766</v>
      </c>
      <c r="Z118" s="2">
        <f t="shared" si="9"/>
        <v>41.17647058823529</v>
      </c>
    </row>
    <row r="119" spans="1:26" x14ac:dyDescent="0.3">
      <c r="A119" s="2" t="s">
        <v>181</v>
      </c>
      <c r="B119" s="1">
        <v>2404</v>
      </c>
      <c r="C119" s="2" t="s">
        <v>11</v>
      </c>
      <c r="D119" s="1">
        <v>240402</v>
      </c>
      <c r="E119" s="2" t="s">
        <v>15</v>
      </c>
      <c r="F119" s="1">
        <v>2404020011</v>
      </c>
      <c r="G119" s="2" t="s">
        <v>48</v>
      </c>
      <c r="H119" s="1">
        <v>24040212901</v>
      </c>
      <c r="I119" s="2" t="s">
        <v>152</v>
      </c>
      <c r="J119" s="1">
        <v>3</v>
      </c>
      <c r="K119" s="2" t="s">
        <v>12</v>
      </c>
      <c r="L119" s="1">
        <v>2</v>
      </c>
      <c r="M119" s="2" t="s">
        <v>166</v>
      </c>
      <c r="N119" s="2" t="s">
        <v>113</v>
      </c>
      <c r="O119" s="1">
        <v>94</v>
      </c>
      <c r="P119" s="1">
        <v>93</v>
      </c>
      <c r="Q119" s="1">
        <v>1</v>
      </c>
      <c r="R119" s="1">
        <v>44</v>
      </c>
      <c r="S119" s="1">
        <v>32</v>
      </c>
      <c r="T119" s="1">
        <v>12</v>
      </c>
      <c r="U119" s="1">
        <v>5</v>
      </c>
      <c r="V119" s="2">
        <f t="shared" si="5"/>
        <v>1.0752688172043012E-2</v>
      </c>
      <c r="W119" s="2">
        <f t="shared" si="6"/>
        <v>47.311827956989248</v>
      </c>
      <c r="X119" s="2">
        <f t="shared" si="7"/>
        <v>12.903225806451612</v>
      </c>
      <c r="Y119" s="2">
        <f t="shared" si="8"/>
        <v>5.376344086021505</v>
      </c>
      <c r="Z119" s="2">
        <f t="shared" si="9"/>
        <v>34.408602150537639</v>
      </c>
    </row>
    <row r="120" spans="1:26" x14ac:dyDescent="0.3">
      <c r="A120" s="2" t="s">
        <v>181</v>
      </c>
      <c r="B120" s="1">
        <v>2404</v>
      </c>
      <c r="C120" s="2" t="s">
        <v>11</v>
      </c>
      <c r="D120" s="1">
        <v>240402</v>
      </c>
      <c r="E120" s="2" t="s">
        <v>15</v>
      </c>
      <c r="F120" s="1">
        <v>2404020013</v>
      </c>
      <c r="G120" s="2" t="s">
        <v>23</v>
      </c>
      <c r="H120" s="1">
        <v>24040200801</v>
      </c>
      <c r="I120" s="2" t="s">
        <v>24</v>
      </c>
      <c r="J120" s="1">
        <v>3</v>
      </c>
      <c r="K120" s="2" t="s">
        <v>12</v>
      </c>
      <c r="L120" s="1">
        <v>2</v>
      </c>
      <c r="M120" s="2" t="s">
        <v>166</v>
      </c>
      <c r="N120" s="2" t="s">
        <v>13</v>
      </c>
      <c r="O120" s="1">
        <v>171</v>
      </c>
      <c r="P120" s="1">
        <v>170</v>
      </c>
      <c r="Q120" s="1">
        <v>1</v>
      </c>
      <c r="R120" s="1">
        <v>101</v>
      </c>
      <c r="S120" s="1">
        <v>32</v>
      </c>
      <c r="T120" s="1">
        <v>27</v>
      </c>
      <c r="U120" s="1">
        <v>10</v>
      </c>
      <c r="V120" s="2">
        <f t="shared" si="5"/>
        <v>5.8823529411764705E-3</v>
      </c>
      <c r="W120" s="2">
        <f t="shared" si="6"/>
        <v>59.411764705882355</v>
      </c>
      <c r="X120" s="2">
        <f t="shared" si="7"/>
        <v>15.882352941176469</v>
      </c>
      <c r="Y120" s="2">
        <f t="shared" si="8"/>
        <v>5.8823529411764701</v>
      </c>
      <c r="Z120" s="2">
        <f t="shared" si="9"/>
        <v>18.823529411764707</v>
      </c>
    </row>
    <row r="121" spans="1:26" x14ac:dyDescent="0.3">
      <c r="A121" s="2" t="s">
        <v>181</v>
      </c>
      <c r="B121" s="1">
        <v>2404</v>
      </c>
      <c r="C121" s="2" t="s">
        <v>11</v>
      </c>
      <c r="D121" s="1">
        <v>240402</v>
      </c>
      <c r="E121" s="2" t="s">
        <v>15</v>
      </c>
      <c r="F121" s="1">
        <v>2404020009</v>
      </c>
      <c r="G121" s="2" t="s">
        <v>34</v>
      </c>
      <c r="H121" s="1">
        <v>24040201901</v>
      </c>
      <c r="I121" s="2" t="s">
        <v>35</v>
      </c>
      <c r="J121" s="1">
        <v>3</v>
      </c>
      <c r="K121" s="2" t="s">
        <v>12</v>
      </c>
      <c r="L121" s="1">
        <v>2</v>
      </c>
      <c r="M121" s="2" t="s">
        <v>166</v>
      </c>
      <c r="N121" s="2" t="s">
        <v>13</v>
      </c>
      <c r="O121" s="1">
        <v>333</v>
      </c>
      <c r="P121" s="1">
        <v>332</v>
      </c>
      <c r="Q121" s="1">
        <v>1</v>
      </c>
      <c r="R121" s="1">
        <v>186</v>
      </c>
      <c r="S121" s="1">
        <v>85</v>
      </c>
      <c r="T121" s="1">
        <v>51</v>
      </c>
      <c r="U121" s="1">
        <v>10</v>
      </c>
      <c r="V121" s="2">
        <f t="shared" si="5"/>
        <v>3.0120481927710845E-3</v>
      </c>
      <c r="W121" s="2">
        <f t="shared" si="6"/>
        <v>56.024096385542165</v>
      </c>
      <c r="X121" s="2">
        <f t="shared" si="7"/>
        <v>15.361445783132529</v>
      </c>
      <c r="Y121" s="2">
        <f t="shared" si="8"/>
        <v>3.0120481927710845</v>
      </c>
      <c r="Z121" s="2">
        <f t="shared" si="9"/>
        <v>25.602409638554217</v>
      </c>
    </row>
    <row r="122" spans="1:26" x14ac:dyDescent="0.3">
      <c r="A122" s="2" t="s">
        <v>181</v>
      </c>
      <c r="B122" s="1">
        <v>2404</v>
      </c>
      <c r="C122" s="2" t="s">
        <v>11</v>
      </c>
      <c r="D122" s="1">
        <v>240402</v>
      </c>
      <c r="E122" s="2" t="s">
        <v>15</v>
      </c>
      <c r="F122" s="1">
        <v>2404020010</v>
      </c>
      <c r="G122" s="2" t="s">
        <v>20</v>
      </c>
      <c r="H122" s="1">
        <v>24040202501</v>
      </c>
      <c r="I122" s="2" t="s">
        <v>39</v>
      </c>
      <c r="J122" s="1">
        <v>3</v>
      </c>
      <c r="K122" s="2" t="s">
        <v>12</v>
      </c>
      <c r="L122" s="1">
        <v>2</v>
      </c>
      <c r="M122" s="2" t="s">
        <v>166</v>
      </c>
      <c r="N122" s="2" t="s">
        <v>13</v>
      </c>
      <c r="O122" s="1">
        <v>242</v>
      </c>
      <c r="P122" s="1">
        <v>241</v>
      </c>
      <c r="Q122" s="1">
        <v>1</v>
      </c>
      <c r="R122" s="1">
        <v>101</v>
      </c>
      <c r="S122" s="1">
        <v>76</v>
      </c>
      <c r="T122" s="1">
        <v>60</v>
      </c>
      <c r="U122" s="1">
        <v>4</v>
      </c>
      <c r="V122" s="2">
        <f t="shared" si="5"/>
        <v>4.1493775933609959E-3</v>
      </c>
      <c r="W122" s="2">
        <f t="shared" si="6"/>
        <v>41.908713692946058</v>
      </c>
      <c r="X122" s="2">
        <f t="shared" si="7"/>
        <v>24.896265560165975</v>
      </c>
      <c r="Y122" s="2">
        <f t="shared" si="8"/>
        <v>1.6597510373443984</v>
      </c>
      <c r="Z122" s="2">
        <f t="shared" si="9"/>
        <v>31.535269709543567</v>
      </c>
    </row>
    <row r="123" spans="1:26" x14ac:dyDescent="0.3">
      <c r="A123" s="2" t="s">
        <v>181</v>
      </c>
      <c r="B123" s="1">
        <v>2404</v>
      </c>
      <c r="C123" s="2" t="s">
        <v>11</v>
      </c>
      <c r="D123" s="1">
        <v>240402</v>
      </c>
      <c r="E123" s="2" t="s">
        <v>15</v>
      </c>
      <c r="F123" s="1">
        <v>2404020005</v>
      </c>
      <c r="G123" s="2" t="s">
        <v>83</v>
      </c>
      <c r="H123" s="1">
        <v>24040206601</v>
      </c>
      <c r="I123" s="2" t="s">
        <v>160</v>
      </c>
      <c r="J123" s="1">
        <v>3</v>
      </c>
      <c r="K123" s="2" t="s">
        <v>12</v>
      </c>
      <c r="L123" s="1">
        <v>2</v>
      </c>
      <c r="M123" s="2" t="s">
        <v>166</v>
      </c>
      <c r="N123" s="2" t="s">
        <v>13</v>
      </c>
      <c r="O123" s="1">
        <v>251</v>
      </c>
      <c r="P123" s="1">
        <v>250</v>
      </c>
      <c r="Q123" s="1">
        <v>1</v>
      </c>
      <c r="R123" s="1">
        <v>146</v>
      </c>
      <c r="S123" s="1">
        <v>55</v>
      </c>
      <c r="T123" s="1">
        <v>43</v>
      </c>
      <c r="U123" s="1">
        <v>6</v>
      </c>
      <c r="V123" s="2">
        <f t="shared" si="5"/>
        <v>4.0000000000000001E-3</v>
      </c>
      <c r="W123" s="2">
        <f t="shared" si="6"/>
        <v>58.4</v>
      </c>
      <c r="X123" s="2">
        <f t="shared" si="7"/>
        <v>17.2</v>
      </c>
      <c r="Y123" s="2">
        <f t="shared" si="8"/>
        <v>2.4</v>
      </c>
      <c r="Z123" s="2">
        <f t="shared" si="9"/>
        <v>22</v>
      </c>
    </row>
    <row r="124" spans="1:26" x14ac:dyDescent="0.3">
      <c r="A124" s="2" t="s">
        <v>181</v>
      </c>
      <c r="B124" s="1">
        <v>2404</v>
      </c>
      <c r="C124" s="2" t="s">
        <v>11</v>
      </c>
      <c r="D124" s="1">
        <v>240402</v>
      </c>
      <c r="E124" s="2" t="s">
        <v>15</v>
      </c>
      <c r="F124" s="1">
        <v>2404020006</v>
      </c>
      <c r="G124" s="2" t="s">
        <v>56</v>
      </c>
      <c r="H124" s="1">
        <v>24040206801</v>
      </c>
      <c r="I124" s="2" t="s">
        <v>57</v>
      </c>
      <c r="J124" s="1">
        <v>3</v>
      </c>
      <c r="K124" s="2" t="s">
        <v>12</v>
      </c>
      <c r="L124" s="1">
        <v>2</v>
      </c>
      <c r="M124" s="2" t="s">
        <v>166</v>
      </c>
      <c r="N124" s="2" t="s">
        <v>13</v>
      </c>
      <c r="O124" s="1">
        <v>198</v>
      </c>
      <c r="P124" s="1">
        <v>197</v>
      </c>
      <c r="Q124" s="1">
        <v>1</v>
      </c>
      <c r="R124" s="1">
        <v>57</v>
      </c>
      <c r="S124" s="1">
        <v>46</v>
      </c>
      <c r="T124" s="1">
        <v>62</v>
      </c>
      <c r="U124" s="1">
        <v>32</v>
      </c>
      <c r="V124" s="2">
        <f t="shared" si="5"/>
        <v>5.076142131979695E-3</v>
      </c>
      <c r="W124" s="2">
        <f t="shared" si="6"/>
        <v>28.934010152284262</v>
      </c>
      <c r="X124" s="2">
        <f t="shared" si="7"/>
        <v>31.472081218274113</v>
      </c>
      <c r="Y124" s="2">
        <f t="shared" si="8"/>
        <v>16.243654822335024</v>
      </c>
      <c r="Z124" s="2">
        <f t="shared" si="9"/>
        <v>23.350253807106601</v>
      </c>
    </row>
    <row r="125" spans="1:26" x14ac:dyDescent="0.3">
      <c r="A125" s="2" t="s">
        <v>181</v>
      </c>
      <c r="B125" s="1">
        <v>2404</v>
      </c>
      <c r="C125" s="2" t="s">
        <v>11</v>
      </c>
      <c r="D125" s="1">
        <v>240402</v>
      </c>
      <c r="E125" s="2" t="s">
        <v>15</v>
      </c>
      <c r="F125" s="1">
        <v>2404020008</v>
      </c>
      <c r="G125" s="2" t="s">
        <v>18</v>
      </c>
      <c r="H125" s="1">
        <v>24040207501</v>
      </c>
      <c r="I125" s="2" t="s">
        <v>63</v>
      </c>
      <c r="J125" s="1">
        <v>3</v>
      </c>
      <c r="K125" s="2" t="s">
        <v>12</v>
      </c>
      <c r="L125" s="1">
        <v>2</v>
      </c>
      <c r="M125" s="2" t="s">
        <v>166</v>
      </c>
      <c r="N125" s="2" t="s">
        <v>13</v>
      </c>
      <c r="O125" s="1">
        <v>555</v>
      </c>
      <c r="P125" s="1">
        <v>554</v>
      </c>
      <c r="Q125" s="1">
        <v>1</v>
      </c>
      <c r="R125" s="1">
        <v>304</v>
      </c>
      <c r="S125" s="1">
        <v>85</v>
      </c>
      <c r="T125" s="1">
        <v>113</v>
      </c>
      <c r="U125" s="1">
        <v>52</v>
      </c>
      <c r="V125" s="2">
        <f t="shared" si="5"/>
        <v>1.8050541516245488E-3</v>
      </c>
      <c r="W125" s="2">
        <f t="shared" si="6"/>
        <v>54.873646209386287</v>
      </c>
      <c r="X125" s="2">
        <f t="shared" si="7"/>
        <v>20.397111913357403</v>
      </c>
      <c r="Y125" s="2">
        <f t="shared" si="8"/>
        <v>9.3862815884476536</v>
      </c>
      <c r="Z125" s="2">
        <f t="shared" si="9"/>
        <v>15.342960288808664</v>
      </c>
    </row>
    <row r="126" spans="1:26" x14ac:dyDescent="0.3">
      <c r="A126" s="2" t="s">
        <v>181</v>
      </c>
      <c r="B126" s="1">
        <v>2404</v>
      </c>
      <c r="C126" s="2" t="s">
        <v>11</v>
      </c>
      <c r="D126" s="1">
        <v>240402</v>
      </c>
      <c r="E126" s="2" t="s">
        <v>15</v>
      </c>
      <c r="F126" s="1">
        <v>2404020002</v>
      </c>
      <c r="G126" s="2" t="s">
        <v>64</v>
      </c>
      <c r="H126" s="1">
        <v>24040207801</v>
      </c>
      <c r="I126" s="2" t="s">
        <v>65</v>
      </c>
      <c r="J126" s="1">
        <v>3</v>
      </c>
      <c r="K126" s="2" t="s">
        <v>12</v>
      </c>
      <c r="L126" s="1">
        <v>2</v>
      </c>
      <c r="M126" s="2" t="s">
        <v>166</v>
      </c>
      <c r="N126" s="2" t="s">
        <v>13</v>
      </c>
      <c r="O126" s="1">
        <v>212</v>
      </c>
      <c r="P126" s="1">
        <v>211</v>
      </c>
      <c r="Q126" s="1">
        <v>1</v>
      </c>
      <c r="R126" s="1">
        <v>113</v>
      </c>
      <c r="S126" s="1">
        <v>36</v>
      </c>
      <c r="T126" s="1">
        <v>42</v>
      </c>
      <c r="U126" s="1">
        <v>20</v>
      </c>
      <c r="V126" s="2">
        <f t="shared" si="5"/>
        <v>4.7393364928909956E-3</v>
      </c>
      <c r="W126" s="2">
        <f t="shared" si="6"/>
        <v>53.554502369668242</v>
      </c>
      <c r="X126" s="2">
        <f t="shared" si="7"/>
        <v>19.90521327014218</v>
      </c>
      <c r="Y126" s="2">
        <f t="shared" si="8"/>
        <v>9.4786729857819907</v>
      </c>
      <c r="Z126" s="2">
        <f t="shared" si="9"/>
        <v>17.061611374407583</v>
      </c>
    </row>
    <row r="127" spans="1:26" x14ac:dyDescent="0.3">
      <c r="A127" s="2" t="s">
        <v>181</v>
      </c>
      <c r="B127" s="1">
        <v>2404</v>
      </c>
      <c r="C127" s="2" t="s">
        <v>11</v>
      </c>
      <c r="D127" s="1">
        <v>240402</v>
      </c>
      <c r="E127" s="2" t="s">
        <v>15</v>
      </c>
      <c r="F127" s="1">
        <v>2404020004</v>
      </c>
      <c r="G127" s="2" t="s">
        <v>30</v>
      </c>
      <c r="H127" s="1">
        <v>24040208301</v>
      </c>
      <c r="I127" s="2" t="s">
        <v>68</v>
      </c>
      <c r="J127" s="1">
        <v>3</v>
      </c>
      <c r="K127" s="2" t="s">
        <v>12</v>
      </c>
      <c r="L127" s="1">
        <v>2</v>
      </c>
      <c r="M127" s="2" t="s">
        <v>166</v>
      </c>
      <c r="N127" s="2" t="s">
        <v>13</v>
      </c>
      <c r="O127" s="1">
        <v>136</v>
      </c>
      <c r="P127" s="1">
        <v>135</v>
      </c>
      <c r="Q127" s="1">
        <v>1</v>
      </c>
      <c r="R127" s="1">
        <v>63</v>
      </c>
      <c r="S127" s="1">
        <v>31</v>
      </c>
      <c r="T127" s="1">
        <v>30</v>
      </c>
      <c r="U127" s="1">
        <v>11</v>
      </c>
      <c r="V127" s="2">
        <f t="shared" si="5"/>
        <v>7.4074074074074077E-3</v>
      </c>
      <c r="W127" s="2">
        <f t="shared" si="6"/>
        <v>46.666666666666664</v>
      </c>
      <c r="X127" s="2">
        <f t="shared" si="7"/>
        <v>22.222222222222221</v>
      </c>
      <c r="Y127" s="2">
        <f t="shared" si="8"/>
        <v>8.1481481481481488</v>
      </c>
      <c r="Z127" s="2">
        <f t="shared" si="9"/>
        <v>22.962962962962962</v>
      </c>
    </row>
    <row r="128" spans="1:26" x14ac:dyDescent="0.3">
      <c r="A128" s="2" t="s">
        <v>181</v>
      </c>
      <c r="B128" s="1">
        <v>2404</v>
      </c>
      <c r="C128" s="2" t="s">
        <v>11</v>
      </c>
      <c r="D128" s="1">
        <v>240402</v>
      </c>
      <c r="E128" s="2" t="s">
        <v>15</v>
      </c>
      <c r="F128" s="1">
        <v>2404020005</v>
      </c>
      <c r="G128" s="2" t="s">
        <v>83</v>
      </c>
      <c r="H128" s="1">
        <v>24040210201</v>
      </c>
      <c r="I128" s="2" t="s">
        <v>84</v>
      </c>
      <c r="J128" s="1">
        <v>3</v>
      </c>
      <c r="K128" s="2" t="s">
        <v>12</v>
      </c>
      <c r="L128" s="1">
        <v>2</v>
      </c>
      <c r="M128" s="2" t="s">
        <v>166</v>
      </c>
      <c r="N128" s="2" t="s">
        <v>13</v>
      </c>
      <c r="O128" s="1">
        <v>124</v>
      </c>
      <c r="P128" s="1">
        <v>123</v>
      </c>
      <c r="Q128" s="1">
        <v>1</v>
      </c>
      <c r="R128" s="1">
        <v>57</v>
      </c>
      <c r="S128" s="1">
        <v>36</v>
      </c>
      <c r="T128" s="1">
        <v>21</v>
      </c>
      <c r="U128" s="1">
        <v>9</v>
      </c>
      <c r="V128" s="2">
        <f t="shared" si="5"/>
        <v>8.130081300813009E-3</v>
      </c>
      <c r="W128" s="2">
        <f t="shared" si="6"/>
        <v>46.341463414634148</v>
      </c>
      <c r="X128" s="2">
        <f t="shared" si="7"/>
        <v>17.073170731707318</v>
      </c>
      <c r="Y128" s="2">
        <f t="shared" si="8"/>
        <v>7.3170731707317067</v>
      </c>
      <c r="Z128" s="2">
        <f t="shared" si="9"/>
        <v>29.268292682926827</v>
      </c>
    </row>
    <row r="129" spans="1:26" x14ac:dyDescent="0.3">
      <c r="A129" s="2" t="s">
        <v>181</v>
      </c>
      <c r="B129" s="1">
        <v>2404</v>
      </c>
      <c r="C129" s="2" t="s">
        <v>11</v>
      </c>
      <c r="D129" s="1">
        <v>240402</v>
      </c>
      <c r="E129" s="2" t="s">
        <v>15</v>
      </c>
      <c r="F129" s="1">
        <v>2404020006</v>
      </c>
      <c r="G129" s="2" t="s">
        <v>56</v>
      </c>
      <c r="H129" s="1">
        <v>24040210401</v>
      </c>
      <c r="I129" s="2" t="s">
        <v>86</v>
      </c>
      <c r="J129" s="1">
        <v>3</v>
      </c>
      <c r="K129" s="2" t="s">
        <v>12</v>
      </c>
      <c r="L129" s="1">
        <v>2</v>
      </c>
      <c r="M129" s="2" t="s">
        <v>166</v>
      </c>
      <c r="N129" s="2" t="s">
        <v>13</v>
      </c>
      <c r="O129" s="1">
        <v>96</v>
      </c>
      <c r="P129" s="1">
        <v>95</v>
      </c>
      <c r="Q129" s="1">
        <v>1</v>
      </c>
      <c r="R129" s="1">
        <v>39</v>
      </c>
      <c r="S129" s="1">
        <v>21</v>
      </c>
      <c r="T129" s="1">
        <v>23</v>
      </c>
      <c r="U129" s="1">
        <v>12</v>
      </c>
      <c r="V129" s="2">
        <f t="shared" si="5"/>
        <v>1.0526315789473684E-2</v>
      </c>
      <c r="W129" s="2">
        <f t="shared" si="6"/>
        <v>41.05263157894737</v>
      </c>
      <c r="X129" s="2">
        <f t="shared" si="7"/>
        <v>24.210526315789473</v>
      </c>
      <c r="Y129" s="2">
        <f t="shared" si="8"/>
        <v>12.631578947368421</v>
      </c>
      <c r="Z129" s="2">
        <f t="shared" si="9"/>
        <v>22.105263157894736</v>
      </c>
    </row>
    <row r="130" spans="1:26" x14ac:dyDescent="0.3">
      <c r="A130" s="2" t="s">
        <v>181</v>
      </c>
      <c r="B130" s="1">
        <v>2404</v>
      </c>
      <c r="C130" s="2" t="s">
        <v>11</v>
      </c>
      <c r="D130" s="1">
        <v>240402</v>
      </c>
      <c r="E130" s="2" t="s">
        <v>15</v>
      </c>
      <c r="F130" s="1">
        <v>2404020005</v>
      </c>
      <c r="G130" s="2" t="s">
        <v>83</v>
      </c>
      <c r="H130" s="1">
        <v>24040210701</v>
      </c>
      <c r="I130" s="2" t="s">
        <v>88</v>
      </c>
      <c r="J130" s="1">
        <v>3</v>
      </c>
      <c r="K130" s="2" t="s">
        <v>12</v>
      </c>
      <c r="L130" s="1">
        <v>2</v>
      </c>
      <c r="M130" s="2" t="s">
        <v>166</v>
      </c>
      <c r="N130" s="2" t="s">
        <v>13</v>
      </c>
      <c r="O130" s="1">
        <v>121</v>
      </c>
      <c r="P130" s="1">
        <v>120</v>
      </c>
      <c r="Q130" s="1">
        <v>1</v>
      </c>
      <c r="R130" s="1">
        <v>53</v>
      </c>
      <c r="S130" s="1">
        <v>28</v>
      </c>
      <c r="T130" s="1">
        <v>30</v>
      </c>
      <c r="U130" s="1">
        <v>9</v>
      </c>
      <c r="V130" s="2">
        <f t="shared" ref="V130:V135" si="10">Q130/P130</f>
        <v>8.3333333333333332E-3</v>
      </c>
      <c r="W130" s="2">
        <f t="shared" si="6"/>
        <v>44.166666666666664</v>
      </c>
      <c r="X130" s="2">
        <f t="shared" si="7"/>
        <v>25</v>
      </c>
      <c r="Y130" s="2">
        <f t="shared" si="8"/>
        <v>7.5</v>
      </c>
      <c r="Z130" s="2">
        <f t="shared" si="9"/>
        <v>23.333333333333332</v>
      </c>
    </row>
    <row r="131" spans="1:26" x14ac:dyDescent="0.3">
      <c r="A131" s="2" t="s">
        <v>181</v>
      </c>
      <c r="B131" s="1">
        <v>2404</v>
      </c>
      <c r="C131" s="2" t="s">
        <v>11</v>
      </c>
      <c r="D131" s="1">
        <v>240402</v>
      </c>
      <c r="E131" s="2" t="s">
        <v>15</v>
      </c>
      <c r="F131" s="1">
        <v>2404020004</v>
      </c>
      <c r="G131" s="2" t="s">
        <v>30</v>
      </c>
      <c r="H131" s="1">
        <v>24040211201</v>
      </c>
      <c r="I131" s="2" t="s">
        <v>92</v>
      </c>
      <c r="J131" s="1">
        <v>3</v>
      </c>
      <c r="K131" s="2" t="s">
        <v>12</v>
      </c>
      <c r="L131" s="1">
        <v>2</v>
      </c>
      <c r="M131" s="2" t="s">
        <v>166</v>
      </c>
      <c r="N131" s="2" t="s">
        <v>13</v>
      </c>
      <c r="O131" s="1">
        <v>183</v>
      </c>
      <c r="P131" s="1">
        <v>182</v>
      </c>
      <c r="Q131" s="1">
        <v>1</v>
      </c>
      <c r="R131" s="1">
        <v>45</v>
      </c>
      <c r="S131" s="1">
        <v>48</v>
      </c>
      <c r="T131" s="1">
        <v>61</v>
      </c>
      <c r="U131" s="1">
        <v>28</v>
      </c>
      <c r="V131" s="2">
        <f t="shared" si="10"/>
        <v>5.4945054945054949E-3</v>
      </c>
      <c r="W131" s="2">
        <f t="shared" ref="W131:W135" si="11">R131/P131*100</f>
        <v>24.725274725274726</v>
      </c>
      <c r="X131" s="2">
        <f t="shared" ref="X131:X135" si="12">T131/P131*100</f>
        <v>33.516483516483511</v>
      </c>
      <c r="Y131" s="2">
        <f t="shared" ref="Y131:Y135" si="13">U131/P131*100</f>
        <v>15.384615384615385</v>
      </c>
      <c r="Z131" s="2">
        <f t="shared" ref="Z131:Z135" si="14">S131/P131*100</f>
        <v>26.373626373626376</v>
      </c>
    </row>
    <row r="132" spans="1:26" x14ac:dyDescent="0.3">
      <c r="A132" s="2" t="s">
        <v>181</v>
      </c>
      <c r="B132" s="1">
        <v>2404</v>
      </c>
      <c r="C132" s="2" t="s">
        <v>11</v>
      </c>
      <c r="D132" s="1">
        <v>240402</v>
      </c>
      <c r="E132" s="2" t="s">
        <v>15</v>
      </c>
      <c r="F132" s="1">
        <v>2404020013</v>
      </c>
      <c r="G132" s="2" t="s">
        <v>23</v>
      </c>
      <c r="H132" s="1">
        <v>24040212504</v>
      </c>
      <c r="I132" s="2" t="s">
        <v>98</v>
      </c>
      <c r="J132" s="1">
        <v>3</v>
      </c>
      <c r="K132" s="2" t="s">
        <v>12</v>
      </c>
      <c r="L132" s="1">
        <v>2</v>
      </c>
      <c r="M132" s="2" t="s">
        <v>166</v>
      </c>
      <c r="N132" s="2" t="s">
        <v>13</v>
      </c>
      <c r="O132" s="1">
        <v>182</v>
      </c>
      <c r="P132" s="1">
        <v>181</v>
      </c>
      <c r="Q132" s="1">
        <v>1</v>
      </c>
      <c r="R132" s="1">
        <v>76</v>
      </c>
      <c r="S132" s="1">
        <v>52</v>
      </c>
      <c r="T132" s="1">
        <v>42</v>
      </c>
      <c r="U132" s="1">
        <v>11</v>
      </c>
      <c r="V132" s="2">
        <f t="shared" si="10"/>
        <v>5.5248618784530384E-3</v>
      </c>
      <c r="W132" s="2">
        <f t="shared" si="11"/>
        <v>41.988950276243095</v>
      </c>
      <c r="X132" s="2">
        <f t="shared" si="12"/>
        <v>23.204419889502763</v>
      </c>
      <c r="Y132" s="2">
        <f t="shared" si="13"/>
        <v>6.0773480662983426</v>
      </c>
      <c r="Z132" s="2">
        <f t="shared" si="14"/>
        <v>28.729281767955801</v>
      </c>
    </row>
    <row r="133" spans="1:26" x14ac:dyDescent="0.3">
      <c r="A133" s="2" t="s">
        <v>181</v>
      </c>
      <c r="B133" s="1">
        <v>2404</v>
      </c>
      <c r="C133" s="2" t="s">
        <v>11</v>
      </c>
      <c r="D133" s="1">
        <v>240402</v>
      </c>
      <c r="E133" s="2" t="s">
        <v>15</v>
      </c>
      <c r="F133" s="1">
        <v>2404020008</v>
      </c>
      <c r="G133" s="2" t="s">
        <v>18</v>
      </c>
      <c r="H133" s="1">
        <v>24040212701</v>
      </c>
      <c r="I133" s="2" t="s">
        <v>100</v>
      </c>
      <c r="J133" s="1">
        <v>3</v>
      </c>
      <c r="K133" s="2" t="s">
        <v>12</v>
      </c>
      <c r="L133" s="1">
        <v>2</v>
      </c>
      <c r="M133" s="2" t="s">
        <v>166</v>
      </c>
      <c r="N133" s="2" t="s">
        <v>13</v>
      </c>
      <c r="O133" s="1">
        <v>327</v>
      </c>
      <c r="P133" s="1">
        <v>326</v>
      </c>
      <c r="Q133" s="1">
        <v>1</v>
      </c>
      <c r="R133" s="1">
        <v>99</v>
      </c>
      <c r="S133" s="1">
        <v>82</v>
      </c>
      <c r="T133" s="1">
        <v>130</v>
      </c>
      <c r="U133" s="1">
        <v>15</v>
      </c>
      <c r="V133" s="2">
        <f t="shared" si="10"/>
        <v>3.0674846625766872E-3</v>
      </c>
      <c r="W133" s="2">
        <f t="shared" si="11"/>
        <v>30.368098159509206</v>
      </c>
      <c r="X133" s="2">
        <f t="shared" si="12"/>
        <v>39.877300613496928</v>
      </c>
      <c r="Y133" s="2">
        <f t="shared" si="13"/>
        <v>4.6012269938650308</v>
      </c>
      <c r="Z133" s="2">
        <f t="shared" si="14"/>
        <v>25.153374233128833</v>
      </c>
    </row>
    <row r="134" spans="1:26" x14ac:dyDescent="0.3">
      <c r="A134" s="2" t="s">
        <v>181</v>
      </c>
      <c r="B134" s="1">
        <v>2404</v>
      </c>
      <c r="C134" s="2" t="s">
        <v>11</v>
      </c>
      <c r="D134" s="1">
        <v>240402</v>
      </c>
      <c r="E134" s="2" t="s">
        <v>15</v>
      </c>
      <c r="F134" s="1">
        <v>2404020006</v>
      </c>
      <c r="G134" s="2" t="s">
        <v>56</v>
      </c>
      <c r="H134" s="1">
        <v>24040213601</v>
      </c>
      <c r="I134" s="2" t="s">
        <v>107</v>
      </c>
      <c r="J134" s="1">
        <v>3</v>
      </c>
      <c r="K134" s="2" t="s">
        <v>12</v>
      </c>
      <c r="L134" s="1">
        <v>2</v>
      </c>
      <c r="M134" s="2" t="s">
        <v>166</v>
      </c>
      <c r="N134" s="2" t="s">
        <v>13</v>
      </c>
      <c r="O134" s="1">
        <v>161</v>
      </c>
      <c r="P134" s="1">
        <v>160</v>
      </c>
      <c r="Q134" s="1">
        <v>1</v>
      </c>
      <c r="R134" s="1">
        <v>83</v>
      </c>
      <c r="S134" s="1">
        <v>42</v>
      </c>
      <c r="T134" s="1">
        <v>32</v>
      </c>
      <c r="U134" s="1">
        <v>3</v>
      </c>
      <c r="V134" s="2">
        <f t="shared" si="10"/>
        <v>6.2500000000000003E-3</v>
      </c>
      <c r="W134" s="2">
        <f t="shared" si="11"/>
        <v>51.875000000000007</v>
      </c>
      <c r="X134" s="2">
        <f t="shared" si="12"/>
        <v>20</v>
      </c>
      <c r="Y134" s="2">
        <f t="shared" si="13"/>
        <v>1.875</v>
      </c>
      <c r="Z134" s="2">
        <f t="shared" si="14"/>
        <v>26.25</v>
      </c>
    </row>
    <row r="135" spans="1:26" x14ac:dyDescent="0.3">
      <c r="A135" s="2" t="s">
        <v>181</v>
      </c>
      <c r="B135" s="1">
        <v>2404</v>
      </c>
      <c r="C135" s="2" t="s">
        <v>11</v>
      </c>
      <c r="D135" s="1">
        <v>240402</v>
      </c>
      <c r="E135" s="2" t="s">
        <v>15</v>
      </c>
      <c r="F135" s="1">
        <v>2404020003</v>
      </c>
      <c r="G135" s="2" t="s">
        <v>45</v>
      </c>
      <c r="H135" s="1">
        <v>24040213701</v>
      </c>
      <c r="I135" s="2" t="s">
        <v>108</v>
      </c>
      <c r="J135" s="1">
        <v>3</v>
      </c>
      <c r="K135" s="2" t="s">
        <v>12</v>
      </c>
      <c r="L135" s="1">
        <v>2</v>
      </c>
      <c r="M135" s="2" t="s">
        <v>166</v>
      </c>
      <c r="N135" s="2" t="s">
        <v>13</v>
      </c>
      <c r="O135" s="1">
        <v>263</v>
      </c>
      <c r="P135" s="1">
        <v>262</v>
      </c>
      <c r="Q135" s="1">
        <v>1</v>
      </c>
      <c r="R135" s="1">
        <v>101</v>
      </c>
      <c r="S135" s="1">
        <v>82</v>
      </c>
      <c r="T135" s="1">
        <v>47</v>
      </c>
      <c r="U135" s="1">
        <v>32</v>
      </c>
      <c r="V135" s="2">
        <f t="shared" si="10"/>
        <v>3.8167938931297708E-3</v>
      </c>
      <c r="W135" s="2">
        <f t="shared" si="11"/>
        <v>38.549618320610683</v>
      </c>
      <c r="X135" s="2">
        <f t="shared" si="12"/>
        <v>17.938931297709924</v>
      </c>
      <c r="Y135" s="2">
        <f t="shared" si="13"/>
        <v>12.213740458015266</v>
      </c>
      <c r="Z135" s="2">
        <f t="shared" si="14"/>
        <v>31.297709923664126</v>
      </c>
    </row>
  </sheetData>
  <autoFilter ref="A1:Z135" xr:uid="{00000000-0001-0000-0100-000000000000}">
    <sortState xmlns:xlrd2="http://schemas.microsoft.com/office/spreadsheetml/2017/richdata2" ref="A2:Z135">
      <sortCondition ref="E1:E13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5"/>
  <sheetViews>
    <sheetView topLeftCell="K113" workbookViewId="0">
      <selection activeCell="D1" sqref="D1:Z135"/>
    </sheetView>
  </sheetViews>
  <sheetFormatPr defaultRowHeight="14.4" x14ac:dyDescent="0.3"/>
  <cols>
    <col min="1" max="1" width="8.6640625" bestFit="1" customWidth="1"/>
    <col min="2" max="2" width="9" bestFit="1" customWidth="1"/>
    <col min="3" max="3" width="11.33203125" bestFit="1" customWidth="1"/>
    <col min="4" max="4" width="7.44140625" bestFit="1" customWidth="1"/>
    <col min="5" max="5" width="11.44140625" bestFit="1" customWidth="1"/>
    <col min="6" max="6" width="11" bestFit="1" customWidth="1"/>
    <col min="7" max="7" width="21.44140625" bestFit="1" customWidth="1"/>
    <col min="8" max="8" width="12" bestFit="1" customWidth="1"/>
    <col min="9" max="9" width="64" bestFit="1" customWidth="1"/>
    <col min="10" max="10" width="7.44140625" bestFit="1" customWidth="1"/>
    <col min="11" max="11" width="12.6640625" bestFit="1" customWidth="1"/>
    <col min="12" max="12" width="6.88671875" bestFit="1" customWidth="1"/>
    <col min="13" max="13" width="34.6640625" bestFit="1" customWidth="1"/>
    <col min="14" max="14" width="8.109375" bestFit="1" customWidth="1"/>
    <col min="15" max="15" width="12.44140625" bestFit="1" customWidth="1"/>
    <col min="16" max="16" width="10.5546875" bestFit="1" customWidth="1"/>
    <col min="17" max="17" width="10" bestFit="1" customWidth="1"/>
    <col min="18" max="18" width="9" bestFit="1" customWidth="1"/>
    <col min="19" max="20" width="10" bestFit="1" customWidth="1"/>
    <col min="21" max="21" width="7" bestFit="1" customWidth="1"/>
    <col min="22" max="22" width="17.88671875" bestFit="1" customWidth="1"/>
    <col min="23" max="23" width="14.44140625" bestFit="1" customWidth="1"/>
    <col min="24" max="24" width="20.33203125" bestFit="1" customWidth="1"/>
    <col min="25" max="25" width="16.44140625" bestFit="1" customWidth="1"/>
    <col min="26" max="26" width="20.33203125" bestFit="1" customWidth="1"/>
  </cols>
  <sheetData>
    <row r="1" spans="1:26" x14ac:dyDescent="0.3">
      <c r="A1" s="2" t="s">
        <v>168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0</v>
      </c>
      <c r="I1" s="2" t="s">
        <v>7</v>
      </c>
      <c r="J1" s="2" t="s">
        <v>8</v>
      </c>
      <c r="K1" s="2" t="s">
        <v>9</v>
      </c>
      <c r="L1" s="2" t="s">
        <v>164</v>
      </c>
      <c r="M1" s="2" t="s">
        <v>165</v>
      </c>
      <c r="N1" s="2" t="s">
        <v>10</v>
      </c>
      <c r="O1" s="2" t="s">
        <v>169</v>
      </c>
      <c r="P1" s="2" t="s">
        <v>170</v>
      </c>
      <c r="Q1" s="2" t="s">
        <v>171</v>
      </c>
      <c r="R1" s="2" t="s">
        <v>172</v>
      </c>
      <c r="S1" s="2" t="s">
        <v>173</v>
      </c>
      <c r="T1" s="2" t="s">
        <v>174</v>
      </c>
      <c r="U1" s="2" t="s">
        <v>175</v>
      </c>
      <c r="V1" s="2" t="s">
        <v>176</v>
      </c>
      <c r="W1" s="2" t="s">
        <v>177</v>
      </c>
      <c r="X1" s="2" t="s">
        <v>178</v>
      </c>
      <c r="Y1" s="2" t="s">
        <v>179</v>
      </c>
      <c r="Z1" s="2" t="s">
        <v>180</v>
      </c>
    </row>
    <row r="2" spans="1:26" x14ac:dyDescent="0.3">
      <c r="A2" s="2" t="s">
        <v>182</v>
      </c>
      <c r="B2" s="1">
        <v>2404</v>
      </c>
      <c r="C2" s="2" t="s">
        <v>11</v>
      </c>
      <c r="D2" s="1">
        <v>240402</v>
      </c>
      <c r="E2" s="2" t="s">
        <v>15</v>
      </c>
      <c r="F2" s="1">
        <v>2404020003</v>
      </c>
      <c r="G2" s="2" t="s">
        <v>45</v>
      </c>
      <c r="H2" s="1">
        <v>24040205501</v>
      </c>
      <c r="I2" s="2" t="s">
        <v>133</v>
      </c>
      <c r="J2" s="1">
        <v>3</v>
      </c>
      <c r="K2" s="2" t="s">
        <v>12</v>
      </c>
      <c r="L2" s="1">
        <v>1</v>
      </c>
      <c r="M2" s="2" t="s">
        <v>167</v>
      </c>
      <c r="N2" s="2" t="s">
        <v>113</v>
      </c>
      <c r="O2" s="1">
        <v>8</v>
      </c>
      <c r="P2" s="1">
        <v>8</v>
      </c>
      <c r="Q2" s="1">
        <v>0</v>
      </c>
      <c r="R2" s="1">
        <v>0</v>
      </c>
      <c r="S2" s="1">
        <v>0</v>
      </c>
      <c r="T2" s="1">
        <v>0</v>
      </c>
      <c r="U2" s="1">
        <v>8</v>
      </c>
      <c r="V2" s="2">
        <v>0</v>
      </c>
      <c r="W2" s="2">
        <v>0</v>
      </c>
      <c r="X2" s="2">
        <v>0</v>
      </c>
      <c r="Y2" s="2">
        <v>100</v>
      </c>
      <c r="Z2" s="2">
        <v>0</v>
      </c>
    </row>
    <row r="3" spans="1:26" x14ac:dyDescent="0.3">
      <c r="A3" s="2" t="s">
        <v>182</v>
      </c>
      <c r="B3" s="1">
        <v>2404</v>
      </c>
      <c r="C3" s="2" t="s">
        <v>11</v>
      </c>
      <c r="D3" s="1">
        <v>240402</v>
      </c>
      <c r="E3" s="2" t="s">
        <v>15</v>
      </c>
      <c r="F3" s="1">
        <v>2404020004</v>
      </c>
      <c r="G3" s="2" t="s">
        <v>30</v>
      </c>
      <c r="H3" s="1">
        <v>24040201302</v>
      </c>
      <c r="I3" s="2" t="s">
        <v>120</v>
      </c>
      <c r="J3" s="1">
        <v>3</v>
      </c>
      <c r="K3" s="2" t="s">
        <v>12</v>
      </c>
      <c r="L3" s="1">
        <v>1</v>
      </c>
      <c r="M3" s="2" t="s">
        <v>167</v>
      </c>
      <c r="N3" s="2" t="s">
        <v>113</v>
      </c>
      <c r="O3" s="1">
        <v>14</v>
      </c>
      <c r="P3" s="1">
        <v>14</v>
      </c>
      <c r="Q3" s="1">
        <v>0</v>
      </c>
      <c r="R3" s="1">
        <v>0</v>
      </c>
      <c r="S3" s="1">
        <v>5</v>
      </c>
      <c r="T3" s="1">
        <v>8</v>
      </c>
      <c r="U3" s="1">
        <v>1</v>
      </c>
      <c r="V3" s="2">
        <v>0</v>
      </c>
      <c r="W3" s="2">
        <v>0</v>
      </c>
      <c r="X3" s="2">
        <v>92.857142857142904</v>
      </c>
      <c r="Y3" s="2">
        <v>7.1428571428571397</v>
      </c>
      <c r="Z3" s="2">
        <v>35.714285714285701</v>
      </c>
    </row>
    <row r="4" spans="1:26" x14ac:dyDescent="0.3">
      <c r="A4" s="2" t="s">
        <v>182</v>
      </c>
      <c r="B4" s="1">
        <v>2404</v>
      </c>
      <c r="C4" s="2" t="s">
        <v>11</v>
      </c>
      <c r="D4" s="1">
        <v>240402</v>
      </c>
      <c r="E4" s="2" t="s">
        <v>15</v>
      </c>
      <c r="F4" s="1">
        <v>2404020010</v>
      </c>
      <c r="G4" s="2" t="s">
        <v>20</v>
      </c>
      <c r="H4" s="1">
        <v>24040204701</v>
      </c>
      <c r="I4" s="2" t="s">
        <v>129</v>
      </c>
      <c r="J4" s="1">
        <v>3</v>
      </c>
      <c r="K4" s="2" t="s">
        <v>12</v>
      </c>
      <c r="L4" s="1">
        <v>1</v>
      </c>
      <c r="M4" s="2" t="s">
        <v>167</v>
      </c>
      <c r="N4" s="2" t="s">
        <v>113</v>
      </c>
      <c r="O4" s="1">
        <v>12</v>
      </c>
      <c r="P4" s="1">
        <v>12</v>
      </c>
      <c r="Q4" s="1">
        <v>0</v>
      </c>
      <c r="R4" s="1">
        <v>0</v>
      </c>
      <c r="S4" s="1">
        <v>2</v>
      </c>
      <c r="T4" s="1">
        <v>9</v>
      </c>
      <c r="U4" s="1">
        <v>1</v>
      </c>
      <c r="V4" s="2">
        <v>0</v>
      </c>
      <c r="W4" s="2">
        <v>0</v>
      </c>
      <c r="X4" s="2">
        <v>91.6666666666667</v>
      </c>
      <c r="Y4" s="2">
        <v>8.3333333333333304</v>
      </c>
      <c r="Z4" s="2">
        <v>16.6666666666667</v>
      </c>
    </row>
    <row r="5" spans="1:26" x14ac:dyDescent="0.3">
      <c r="A5" s="2" t="s">
        <v>182</v>
      </c>
      <c r="B5" s="1">
        <v>2404</v>
      </c>
      <c r="C5" s="2" t="s">
        <v>11</v>
      </c>
      <c r="D5" s="1">
        <v>240402</v>
      </c>
      <c r="E5" s="2" t="s">
        <v>15</v>
      </c>
      <c r="F5" s="1">
        <v>2404020012</v>
      </c>
      <c r="G5" s="2" t="s">
        <v>37</v>
      </c>
      <c r="H5" s="1">
        <v>24040203601</v>
      </c>
      <c r="I5" s="2" t="s">
        <v>126</v>
      </c>
      <c r="J5" s="1">
        <v>3</v>
      </c>
      <c r="K5" s="2" t="s">
        <v>12</v>
      </c>
      <c r="L5" s="1">
        <v>1</v>
      </c>
      <c r="M5" s="2" t="s">
        <v>167</v>
      </c>
      <c r="N5" s="2" t="s">
        <v>113</v>
      </c>
      <c r="O5" s="1">
        <v>30</v>
      </c>
      <c r="P5" s="1">
        <v>30</v>
      </c>
      <c r="Q5" s="1">
        <v>0</v>
      </c>
      <c r="R5" s="1">
        <v>0</v>
      </c>
      <c r="S5" s="1">
        <v>9</v>
      </c>
      <c r="T5" s="1">
        <v>10</v>
      </c>
      <c r="U5" s="1">
        <v>11</v>
      </c>
      <c r="V5" s="2">
        <v>0</v>
      </c>
      <c r="W5" s="2">
        <v>0</v>
      </c>
      <c r="X5" s="2">
        <v>63.3333333333333</v>
      </c>
      <c r="Y5" s="2">
        <v>36.6666666666667</v>
      </c>
      <c r="Z5" s="2">
        <v>30</v>
      </c>
    </row>
    <row r="6" spans="1:26" x14ac:dyDescent="0.3">
      <c r="A6" s="2" t="s">
        <v>182</v>
      </c>
      <c r="B6" s="1">
        <v>2404</v>
      </c>
      <c r="C6" s="2" t="s">
        <v>11</v>
      </c>
      <c r="D6" s="1">
        <v>240402</v>
      </c>
      <c r="E6" s="2" t="s">
        <v>15</v>
      </c>
      <c r="F6" s="1">
        <v>2404020006</v>
      </c>
      <c r="G6" s="2" t="s">
        <v>56</v>
      </c>
      <c r="H6" s="1">
        <v>24040205101</v>
      </c>
      <c r="I6" s="2" t="s">
        <v>130</v>
      </c>
      <c r="J6" s="1">
        <v>3</v>
      </c>
      <c r="K6" s="2" t="s">
        <v>12</v>
      </c>
      <c r="L6" s="1">
        <v>1</v>
      </c>
      <c r="M6" s="2" t="s">
        <v>167</v>
      </c>
      <c r="N6" s="2" t="s">
        <v>113</v>
      </c>
      <c r="O6" s="1">
        <v>12</v>
      </c>
      <c r="P6" s="1">
        <v>12</v>
      </c>
      <c r="Q6" s="1">
        <v>0</v>
      </c>
      <c r="R6" s="1">
        <v>0</v>
      </c>
      <c r="S6" s="1">
        <v>0</v>
      </c>
      <c r="T6" s="1">
        <v>3</v>
      </c>
      <c r="U6" s="1">
        <v>9</v>
      </c>
      <c r="V6" s="2">
        <v>0</v>
      </c>
      <c r="W6" s="2">
        <v>0</v>
      </c>
      <c r="X6" s="2">
        <v>25</v>
      </c>
      <c r="Y6" s="2">
        <v>75</v>
      </c>
      <c r="Z6" s="2">
        <v>0</v>
      </c>
    </row>
    <row r="7" spans="1:26" x14ac:dyDescent="0.3">
      <c r="A7" s="2" t="s">
        <v>182</v>
      </c>
      <c r="B7" s="1">
        <v>2404</v>
      </c>
      <c r="C7" s="2" t="s">
        <v>11</v>
      </c>
      <c r="D7" s="1">
        <v>240402</v>
      </c>
      <c r="E7" s="2" t="s">
        <v>15</v>
      </c>
      <c r="F7" s="1">
        <v>2404020006</v>
      </c>
      <c r="G7" s="2" t="s">
        <v>56</v>
      </c>
      <c r="H7" s="1">
        <v>24040213201</v>
      </c>
      <c r="I7" s="2" t="s">
        <v>161</v>
      </c>
      <c r="J7" s="1">
        <v>3</v>
      </c>
      <c r="K7" s="2" t="s">
        <v>12</v>
      </c>
      <c r="L7" s="1">
        <v>1</v>
      </c>
      <c r="M7" s="2" t="s">
        <v>167</v>
      </c>
      <c r="N7" s="2" t="s">
        <v>113</v>
      </c>
      <c r="O7" s="1">
        <v>6</v>
      </c>
      <c r="P7" s="1">
        <v>6</v>
      </c>
      <c r="Q7" s="1">
        <v>0</v>
      </c>
      <c r="R7" s="1">
        <v>0</v>
      </c>
      <c r="S7" s="1">
        <v>1</v>
      </c>
      <c r="T7" s="1">
        <v>3</v>
      </c>
      <c r="U7" s="1">
        <v>2</v>
      </c>
      <c r="V7" s="2">
        <v>0</v>
      </c>
      <c r="W7" s="2">
        <v>0</v>
      </c>
      <c r="X7" s="2">
        <v>66.6666666666667</v>
      </c>
      <c r="Y7" s="2">
        <v>33.3333333333333</v>
      </c>
      <c r="Z7" s="2">
        <v>16.6666666666667</v>
      </c>
    </row>
    <row r="8" spans="1:26" x14ac:dyDescent="0.3">
      <c r="A8" s="2" t="s">
        <v>182</v>
      </c>
      <c r="B8" s="1">
        <v>2404</v>
      </c>
      <c r="C8" s="2" t="s">
        <v>11</v>
      </c>
      <c r="D8" s="1">
        <v>240402</v>
      </c>
      <c r="E8" s="2" t="s">
        <v>15</v>
      </c>
      <c r="F8" s="1">
        <v>2404020006</v>
      </c>
      <c r="G8" s="2" t="s">
        <v>56</v>
      </c>
      <c r="H8" s="1">
        <v>24040213801</v>
      </c>
      <c r="I8" s="2" t="s">
        <v>153</v>
      </c>
      <c r="J8" s="1">
        <v>3</v>
      </c>
      <c r="K8" s="2" t="s">
        <v>12</v>
      </c>
      <c r="L8" s="1">
        <v>1</v>
      </c>
      <c r="M8" s="2" t="s">
        <v>167</v>
      </c>
      <c r="N8" s="2" t="s">
        <v>113</v>
      </c>
      <c r="O8" s="1">
        <v>8</v>
      </c>
      <c r="P8" s="1">
        <v>8</v>
      </c>
      <c r="Q8" s="1">
        <v>0</v>
      </c>
      <c r="R8" s="1">
        <v>0</v>
      </c>
      <c r="S8" s="1">
        <v>3</v>
      </c>
      <c r="T8" s="1">
        <v>2</v>
      </c>
      <c r="U8" s="1">
        <v>3</v>
      </c>
      <c r="V8" s="2">
        <v>0</v>
      </c>
      <c r="W8" s="2">
        <v>0</v>
      </c>
      <c r="X8" s="2">
        <v>62.5</v>
      </c>
      <c r="Y8" s="2">
        <v>37.5</v>
      </c>
      <c r="Z8" s="2">
        <v>37.5</v>
      </c>
    </row>
    <row r="9" spans="1:26" x14ac:dyDescent="0.3">
      <c r="A9" s="2" t="s">
        <v>182</v>
      </c>
      <c r="B9" s="1">
        <v>2404</v>
      </c>
      <c r="C9" s="2" t="s">
        <v>11</v>
      </c>
      <c r="D9" s="1">
        <v>240402</v>
      </c>
      <c r="E9" s="2" t="s">
        <v>15</v>
      </c>
      <c r="F9" s="1">
        <v>2404020010</v>
      </c>
      <c r="G9" s="2" t="s">
        <v>20</v>
      </c>
      <c r="H9" s="1">
        <v>24040214101</v>
      </c>
      <c r="I9" s="2" t="s">
        <v>155</v>
      </c>
      <c r="J9" s="1">
        <v>3</v>
      </c>
      <c r="K9" s="2" t="s">
        <v>12</v>
      </c>
      <c r="L9" s="1">
        <v>1</v>
      </c>
      <c r="M9" s="2" t="s">
        <v>167</v>
      </c>
      <c r="N9" s="2" t="s">
        <v>113</v>
      </c>
      <c r="O9" s="1">
        <v>12</v>
      </c>
      <c r="P9" s="1">
        <v>12</v>
      </c>
      <c r="Q9" s="1">
        <v>0</v>
      </c>
      <c r="R9" s="1">
        <v>0</v>
      </c>
      <c r="S9" s="1">
        <v>1</v>
      </c>
      <c r="T9" s="1">
        <v>3</v>
      </c>
      <c r="U9" s="1">
        <v>8</v>
      </c>
      <c r="V9" s="2">
        <v>0</v>
      </c>
      <c r="W9" s="2">
        <v>0</v>
      </c>
      <c r="X9" s="2">
        <v>33.3333333333333</v>
      </c>
      <c r="Y9" s="2">
        <v>66.6666666666667</v>
      </c>
      <c r="Z9" s="2">
        <v>8.3333333333333304</v>
      </c>
    </row>
    <row r="10" spans="1:26" x14ac:dyDescent="0.3">
      <c r="A10" s="2" t="s">
        <v>182</v>
      </c>
      <c r="B10" s="1">
        <v>2404</v>
      </c>
      <c r="C10" s="2" t="s">
        <v>11</v>
      </c>
      <c r="D10" s="1">
        <v>240402</v>
      </c>
      <c r="E10" s="2" t="s">
        <v>15</v>
      </c>
      <c r="F10" s="1">
        <v>2404020009</v>
      </c>
      <c r="G10" s="2" t="s">
        <v>34</v>
      </c>
      <c r="H10" s="1">
        <v>24040209003</v>
      </c>
      <c r="I10" s="2" t="s">
        <v>141</v>
      </c>
      <c r="J10" s="1">
        <v>3</v>
      </c>
      <c r="K10" s="2" t="s">
        <v>12</v>
      </c>
      <c r="L10" s="1">
        <v>1</v>
      </c>
      <c r="M10" s="2" t="s">
        <v>167</v>
      </c>
      <c r="N10" s="2" t="s">
        <v>113</v>
      </c>
      <c r="O10" s="1">
        <v>17</v>
      </c>
      <c r="P10" s="1">
        <v>17</v>
      </c>
      <c r="Q10" s="1">
        <v>0</v>
      </c>
      <c r="R10" s="1">
        <v>0</v>
      </c>
      <c r="S10" s="1">
        <v>0</v>
      </c>
      <c r="T10" s="1">
        <v>8</v>
      </c>
      <c r="U10" s="1">
        <v>9</v>
      </c>
      <c r="V10" s="2">
        <v>0</v>
      </c>
      <c r="W10" s="2">
        <v>0</v>
      </c>
      <c r="X10" s="2">
        <v>47.058823529411796</v>
      </c>
      <c r="Y10" s="2">
        <v>52.941176470588204</v>
      </c>
      <c r="Z10" s="2">
        <v>0</v>
      </c>
    </row>
    <row r="11" spans="1:26" x14ac:dyDescent="0.3">
      <c r="A11" s="2" t="s">
        <v>182</v>
      </c>
      <c r="B11" s="1">
        <v>2404</v>
      </c>
      <c r="C11" s="2" t="s">
        <v>11</v>
      </c>
      <c r="D11" s="1">
        <v>240402</v>
      </c>
      <c r="E11" s="2" t="s">
        <v>15</v>
      </c>
      <c r="F11" s="1">
        <v>2404020014</v>
      </c>
      <c r="G11" s="2" t="s">
        <v>28</v>
      </c>
      <c r="H11" s="1">
        <v>24040204801</v>
      </c>
      <c r="I11" s="2" t="s">
        <v>112</v>
      </c>
      <c r="J11" s="1">
        <v>3</v>
      </c>
      <c r="K11" s="2" t="s">
        <v>12</v>
      </c>
      <c r="L11" s="1">
        <v>1</v>
      </c>
      <c r="M11" s="2" t="s">
        <v>167</v>
      </c>
      <c r="N11" s="2" t="s">
        <v>113</v>
      </c>
      <c r="O11" s="1">
        <v>9</v>
      </c>
      <c r="P11" s="1">
        <v>9</v>
      </c>
      <c r="Q11" s="1">
        <v>0</v>
      </c>
      <c r="R11" s="1">
        <v>0</v>
      </c>
      <c r="S11" s="1">
        <v>3</v>
      </c>
      <c r="T11" s="1">
        <v>4</v>
      </c>
      <c r="U11" s="1">
        <v>2</v>
      </c>
      <c r="V11" s="2">
        <v>0</v>
      </c>
      <c r="W11" s="2">
        <v>0</v>
      </c>
      <c r="X11" s="2">
        <v>77.7777777777778</v>
      </c>
      <c r="Y11" s="2">
        <v>22.2222222222222</v>
      </c>
      <c r="Z11" s="2">
        <v>33.3333333333333</v>
      </c>
    </row>
    <row r="12" spans="1:26" x14ac:dyDescent="0.3">
      <c r="A12" s="2" t="s">
        <v>182</v>
      </c>
      <c r="B12" s="1">
        <v>2404</v>
      </c>
      <c r="C12" s="2" t="s">
        <v>11</v>
      </c>
      <c r="D12" s="1">
        <v>240402</v>
      </c>
      <c r="E12" s="2" t="s">
        <v>15</v>
      </c>
      <c r="F12" s="1">
        <v>2404020001</v>
      </c>
      <c r="G12" s="2" t="s">
        <v>26</v>
      </c>
      <c r="H12" s="1">
        <v>24040202802</v>
      </c>
      <c r="I12" s="2" t="s">
        <v>41</v>
      </c>
      <c r="J12" s="1">
        <v>3</v>
      </c>
      <c r="K12" s="2" t="s">
        <v>12</v>
      </c>
      <c r="L12" s="1">
        <v>2</v>
      </c>
      <c r="M12" s="2" t="s">
        <v>166</v>
      </c>
      <c r="N12" s="2" t="s">
        <v>13</v>
      </c>
      <c r="O12" s="1">
        <v>173</v>
      </c>
      <c r="P12" s="1">
        <v>173</v>
      </c>
      <c r="Q12" s="1">
        <v>0</v>
      </c>
      <c r="R12" s="1">
        <v>0</v>
      </c>
      <c r="S12" s="1">
        <v>36</v>
      </c>
      <c r="T12" s="1">
        <v>61</v>
      </c>
      <c r="U12" s="1">
        <v>76</v>
      </c>
      <c r="V12" s="2">
        <v>0</v>
      </c>
      <c r="W12" s="2">
        <v>0</v>
      </c>
      <c r="X12" s="2">
        <v>56.069364161849698</v>
      </c>
      <c r="Y12" s="2">
        <v>43.930635838150302</v>
      </c>
      <c r="Z12" s="2">
        <v>20.8092485549133</v>
      </c>
    </row>
    <row r="13" spans="1:26" x14ac:dyDescent="0.3">
      <c r="A13" s="2" t="s">
        <v>182</v>
      </c>
      <c r="B13" s="1">
        <v>2404</v>
      </c>
      <c r="C13" s="2" t="s">
        <v>11</v>
      </c>
      <c r="D13" s="1">
        <v>240402</v>
      </c>
      <c r="E13" s="2" t="s">
        <v>15</v>
      </c>
      <c r="F13" s="1">
        <v>2404020014</v>
      </c>
      <c r="G13" s="2" t="s">
        <v>28</v>
      </c>
      <c r="H13" s="1">
        <v>24040208701</v>
      </c>
      <c r="I13" s="2" t="s">
        <v>140</v>
      </c>
      <c r="J13" s="1">
        <v>3</v>
      </c>
      <c r="K13" s="2" t="s">
        <v>12</v>
      </c>
      <c r="L13" s="1">
        <v>2</v>
      </c>
      <c r="M13" s="2" t="s">
        <v>166</v>
      </c>
      <c r="N13" s="2" t="s">
        <v>113</v>
      </c>
      <c r="O13" s="1">
        <v>15</v>
      </c>
      <c r="P13" s="1">
        <v>15</v>
      </c>
      <c r="Q13" s="1">
        <v>0</v>
      </c>
      <c r="R13" s="1">
        <v>0</v>
      </c>
      <c r="S13" s="1">
        <v>3</v>
      </c>
      <c r="T13" s="1">
        <v>4</v>
      </c>
      <c r="U13" s="1">
        <v>8</v>
      </c>
      <c r="V13" s="2">
        <v>0</v>
      </c>
      <c r="W13" s="2">
        <v>0</v>
      </c>
      <c r="X13" s="2">
        <v>46.6666666666667</v>
      </c>
      <c r="Y13" s="2">
        <v>53.3333333333333</v>
      </c>
      <c r="Z13" s="2">
        <v>20</v>
      </c>
    </row>
    <row r="14" spans="1:26" x14ac:dyDescent="0.3">
      <c r="A14" s="2" t="s">
        <v>182</v>
      </c>
      <c r="B14" s="1">
        <v>2404</v>
      </c>
      <c r="C14" s="2" t="s">
        <v>11</v>
      </c>
      <c r="D14" s="1">
        <v>240402</v>
      </c>
      <c r="E14" s="2" t="s">
        <v>15</v>
      </c>
      <c r="F14" s="1">
        <v>2404020009</v>
      </c>
      <c r="G14" s="2" t="s">
        <v>34</v>
      </c>
      <c r="H14" s="1">
        <v>24040209201</v>
      </c>
      <c r="I14" s="2" t="s">
        <v>142</v>
      </c>
      <c r="J14" s="1">
        <v>3</v>
      </c>
      <c r="K14" s="2" t="s">
        <v>12</v>
      </c>
      <c r="L14" s="1">
        <v>2</v>
      </c>
      <c r="M14" s="2" t="s">
        <v>166</v>
      </c>
      <c r="N14" s="2" t="s">
        <v>113</v>
      </c>
      <c r="O14" s="1">
        <v>27</v>
      </c>
      <c r="P14" s="1">
        <v>27</v>
      </c>
      <c r="Q14" s="1">
        <v>0</v>
      </c>
      <c r="R14" s="1">
        <v>0</v>
      </c>
      <c r="S14" s="1">
        <v>2</v>
      </c>
      <c r="T14" s="1">
        <v>8</v>
      </c>
      <c r="U14" s="1">
        <v>17</v>
      </c>
      <c r="V14" s="2">
        <v>0</v>
      </c>
      <c r="W14" s="2">
        <v>0</v>
      </c>
      <c r="X14" s="2">
        <v>37.037037037037003</v>
      </c>
      <c r="Y14" s="2">
        <v>62.962962962962997</v>
      </c>
      <c r="Z14" s="2">
        <v>7.4074074074074101</v>
      </c>
    </row>
    <row r="15" spans="1:26" x14ac:dyDescent="0.3">
      <c r="A15" s="2" t="s">
        <v>182</v>
      </c>
      <c r="B15" s="1">
        <v>2404</v>
      </c>
      <c r="C15" s="2" t="s">
        <v>11</v>
      </c>
      <c r="D15" s="1">
        <v>240402</v>
      </c>
      <c r="E15" s="2" t="s">
        <v>15</v>
      </c>
      <c r="F15" s="1">
        <v>2404020014</v>
      </c>
      <c r="G15" s="2" t="s">
        <v>28</v>
      </c>
      <c r="H15" s="1">
        <v>24040206901</v>
      </c>
      <c r="I15" s="2" t="s">
        <v>135</v>
      </c>
      <c r="J15" s="1">
        <v>3</v>
      </c>
      <c r="K15" s="2" t="s">
        <v>12</v>
      </c>
      <c r="L15" s="1">
        <v>2</v>
      </c>
      <c r="M15" s="2" t="s">
        <v>166</v>
      </c>
      <c r="N15" s="2" t="s">
        <v>113</v>
      </c>
      <c r="O15" s="1">
        <v>9</v>
      </c>
      <c r="P15" s="1">
        <v>9</v>
      </c>
      <c r="Q15" s="1">
        <v>0</v>
      </c>
      <c r="R15" s="1">
        <v>0</v>
      </c>
      <c r="S15" s="1">
        <v>0</v>
      </c>
      <c r="T15" s="1">
        <v>4</v>
      </c>
      <c r="U15" s="1">
        <v>5</v>
      </c>
      <c r="V15" s="2">
        <v>0</v>
      </c>
      <c r="W15" s="2">
        <v>0</v>
      </c>
      <c r="X15" s="2">
        <v>44.4444444444444</v>
      </c>
      <c r="Y15" s="2">
        <v>55.5555555555556</v>
      </c>
      <c r="Z15" s="2">
        <v>0</v>
      </c>
    </row>
    <row r="16" spans="1:26" x14ac:dyDescent="0.3">
      <c r="A16" s="2" t="s">
        <v>182</v>
      </c>
      <c r="B16" s="1">
        <v>2404</v>
      </c>
      <c r="C16" s="2" t="s">
        <v>11</v>
      </c>
      <c r="D16" s="1">
        <v>240402</v>
      </c>
      <c r="E16" s="2" t="s">
        <v>15</v>
      </c>
      <c r="F16" s="1">
        <v>2404020009</v>
      </c>
      <c r="G16" s="2" t="s">
        <v>34</v>
      </c>
      <c r="H16" s="1">
        <v>24040213302</v>
      </c>
      <c r="I16" s="2" t="s">
        <v>104</v>
      </c>
      <c r="J16" s="1">
        <v>3</v>
      </c>
      <c r="K16" s="2" t="s">
        <v>12</v>
      </c>
      <c r="L16" s="1">
        <v>1</v>
      </c>
      <c r="M16" s="2" t="s">
        <v>167</v>
      </c>
      <c r="N16" s="2" t="s">
        <v>13</v>
      </c>
      <c r="O16" s="1">
        <v>158</v>
      </c>
      <c r="P16" s="1">
        <v>158</v>
      </c>
      <c r="Q16" s="1">
        <v>0</v>
      </c>
      <c r="R16" s="1">
        <v>34</v>
      </c>
      <c r="S16" s="1">
        <v>56</v>
      </c>
      <c r="T16" s="1">
        <v>44</v>
      </c>
      <c r="U16" s="1">
        <v>24</v>
      </c>
      <c r="V16" s="2">
        <v>0</v>
      </c>
      <c r="W16" s="2">
        <v>21.518987341772199</v>
      </c>
      <c r="X16" s="2">
        <v>63.291139240506297</v>
      </c>
      <c r="Y16" s="2">
        <v>15.1898734177215</v>
      </c>
      <c r="Z16" s="2">
        <v>35.443037974683499</v>
      </c>
    </row>
    <row r="17" spans="1:26" x14ac:dyDescent="0.3">
      <c r="A17" s="2" t="s">
        <v>182</v>
      </c>
      <c r="B17" s="1">
        <v>2404</v>
      </c>
      <c r="C17" s="2" t="s">
        <v>11</v>
      </c>
      <c r="D17" s="1">
        <v>240402</v>
      </c>
      <c r="E17" s="2" t="s">
        <v>15</v>
      </c>
      <c r="F17" s="1">
        <v>2404020002</v>
      </c>
      <c r="G17" s="2" t="s">
        <v>64</v>
      </c>
      <c r="H17" s="1">
        <v>24040202901</v>
      </c>
      <c r="I17" s="2" t="s">
        <v>124</v>
      </c>
      <c r="J17" s="1">
        <v>3</v>
      </c>
      <c r="K17" s="2" t="s">
        <v>12</v>
      </c>
      <c r="L17" s="1">
        <v>1</v>
      </c>
      <c r="M17" s="2" t="s">
        <v>167</v>
      </c>
      <c r="N17" s="2" t="s">
        <v>113</v>
      </c>
      <c r="O17" s="1">
        <v>62</v>
      </c>
      <c r="P17" s="1">
        <v>62</v>
      </c>
      <c r="Q17" s="1">
        <v>0</v>
      </c>
      <c r="R17" s="1">
        <v>7</v>
      </c>
      <c r="S17" s="1">
        <v>17</v>
      </c>
      <c r="T17" s="1">
        <v>26</v>
      </c>
      <c r="U17" s="1">
        <v>12</v>
      </c>
      <c r="V17" s="2">
        <v>0</v>
      </c>
      <c r="W17" s="2">
        <v>11.290322580645199</v>
      </c>
      <c r="X17" s="2">
        <v>69.354838709677395</v>
      </c>
      <c r="Y17" s="2">
        <v>19.354838709677399</v>
      </c>
      <c r="Z17" s="2">
        <v>27.419354838709701</v>
      </c>
    </row>
    <row r="18" spans="1:26" x14ac:dyDescent="0.3">
      <c r="A18" s="2" t="s">
        <v>182</v>
      </c>
      <c r="B18" s="1">
        <v>2404</v>
      </c>
      <c r="C18" s="2" t="s">
        <v>11</v>
      </c>
      <c r="D18" s="1">
        <v>240402</v>
      </c>
      <c r="E18" s="2" t="s">
        <v>15</v>
      </c>
      <c r="F18" s="1">
        <v>2404020002</v>
      </c>
      <c r="G18" s="2" t="s">
        <v>64</v>
      </c>
      <c r="H18" s="1">
        <v>24040211801</v>
      </c>
      <c r="I18" s="2" t="s">
        <v>148</v>
      </c>
      <c r="J18" s="1">
        <v>3</v>
      </c>
      <c r="K18" s="2" t="s">
        <v>12</v>
      </c>
      <c r="L18" s="1">
        <v>1</v>
      </c>
      <c r="M18" s="2" t="s">
        <v>167</v>
      </c>
      <c r="N18" s="2" t="s">
        <v>113</v>
      </c>
      <c r="O18" s="1">
        <v>12</v>
      </c>
      <c r="P18" s="1">
        <v>12</v>
      </c>
      <c r="Q18" s="1">
        <v>0</v>
      </c>
      <c r="R18" s="1">
        <v>3</v>
      </c>
      <c r="S18" s="1">
        <v>7</v>
      </c>
      <c r="T18" s="1">
        <v>2</v>
      </c>
      <c r="U18" s="1">
        <v>0</v>
      </c>
      <c r="V18" s="2">
        <v>0</v>
      </c>
      <c r="W18" s="2">
        <v>25</v>
      </c>
      <c r="X18" s="2">
        <v>75</v>
      </c>
      <c r="Y18" s="2">
        <v>0</v>
      </c>
      <c r="Z18" s="2">
        <v>58.3333333333333</v>
      </c>
    </row>
    <row r="19" spans="1:26" x14ac:dyDescent="0.3">
      <c r="A19" s="2" t="s">
        <v>182</v>
      </c>
      <c r="B19" s="1">
        <v>2404</v>
      </c>
      <c r="C19" s="2" t="s">
        <v>11</v>
      </c>
      <c r="D19" s="1">
        <v>240402</v>
      </c>
      <c r="E19" s="2" t="s">
        <v>15</v>
      </c>
      <c r="F19" s="1">
        <v>2404020004</v>
      </c>
      <c r="G19" s="2" t="s">
        <v>30</v>
      </c>
      <c r="H19" s="1">
        <v>24040200601</v>
      </c>
      <c r="I19" s="2" t="s">
        <v>117</v>
      </c>
      <c r="J19" s="1">
        <v>3</v>
      </c>
      <c r="K19" s="2" t="s">
        <v>12</v>
      </c>
      <c r="L19" s="1">
        <v>1</v>
      </c>
      <c r="M19" s="2" t="s">
        <v>167</v>
      </c>
      <c r="N19" s="2" t="s">
        <v>113</v>
      </c>
      <c r="O19" s="1">
        <v>20</v>
      </c>
      <c r="P19" s="1">
        <v>20</v>
      </c>
      <c r="Q19" s="1">
        <v>0</v>
      </c>
      <c r="R19" s="1">
        <v>3</v>
      </c>
      <c r="S19" s="1">
        <v>4</v>
      </c>
      <c r="T19" s="1">
        <v>10</v>
      </c>
      <c r="U19" s="1">
        <v>3</v>
      </c>
      <c r="V19" s="2">
        <v>0</v>
      </c>
      <c r="W19" s="2">
        <v>15</v>
      </c>
      <c r="X19" s="2">
        <v>70</v>
      </c>
      <c r="Y19" s="2">
        <v>15</v>
      </c>
      <c r="Z19" s="2">
        <v>20</v>
      </c>
    </row>
    <row r="20" spans="1:26" x14ac:dyDescent="0.3">
      <c r="A20" s="2" t="s">
        <v>182</v>
      </c>
      <c r="B20" s="1">
        <v>2404</v>
      </c>
      <c r="C20" s="2" t="s">
        <v>11</v>
      </c>
      <c r="D20" s="1">
        <v>240402</v>
      </c>
      <c r="E20" s="2" t="s">
        <v>15</v>
      </c>
      <c r="F20" s="1">
        <v>2404020004</v>
      </c>
      <c r="G20" s="2" t="s">
        <v>30</v>
      </c>
      <c r="H20" s="1">
        <v>24040205201</v>
      </c>
      <c r="I20" s="2" t="s">
        <v>131</v>
      </c>
      <c r="J20" s="1">
        <v>3</v>
      </c>
      <c r="K20" s="2" t="s">
        <v>12</v>
      </c>
      <c r="L20" s="1">
        <v>1</v>
      </c>
      <c r="M20" s="2" t="s">
        <v>167</v>
      </c>
      <c r="N20" s="2" t="s">
        <v>113</v>
      </c>
      <c r="O20" s="1">
        <v>12</v>
      </c>
      <c r="P20" s="1">
        <v>12</v>
      </c>
      <c r="Q20" s="1">
        <v>0</v>
      </c>
      <c r="R20" s="1">
        <v>1</v>
      </c>
      <c r="S20" s="1">
        <v>0</v>
      </c>
      <c r="T20" s="1">
        <v>3</v>
      </c>
      <c r="U20" s="1">
        <v>8</v>
      </c>
      <c r="V20" s="2">
        <v>0</v>
      </c>
      <c r="W20" s="2">
        <v>8.3333333333333304</v>
      </c>
      <c r="X20" s="2">
        <v>25</v>
      </c>
      <c r="Y20" s="2">
        <v>66.6666666666667</v>
      </c>
      <c r="Z20" s="2">
        <v>0</v>
      </c>
    </row>
    <row r="21" spans="1:26" x14ac:dyDescent="0.3">
      <c r="A21" s="2" t="s">
        <v>182</v>
      </c>
      <c r="B21" s="1">
        <v>2404</v>
      </c>
      <c r="C21" s="2" t="s">
        <v>11</v>
      </c>
      <c r="D21" s="1">
        <v>240402</v>
      </c>
      <c r="E21" s="2" t="s">
        <v>15</v>
      </c>
      <c r="F21" s="1">
        <v>2404020002</v>
      </c>
      <c r="G21" s="2" t="s">
        <v>64</v>
      </c>
      <c r="H21" s="1">
        <v>24040211101</v>
      </c>
      <c r="I21" s="2" t="s">
        <v>145</v>
      </c>
      <c r="J21" s="1">
        <v>3</v>
      </c>
      <c r="K21" s="2" t="s">
        <v>12</v>
      </c>
      <c r="L21" s="1">
        <v>1</v>
      </c>
      <c r="M21" s="2" t="s">
        <v>167</v>
      </c>
      <c r="N21" s="2" t="s">
        <v>113</v>
      </c>
      <c r="O21" s="1">
        <v>23</v>
      </c>
      <c r="P21" s="1">
        <v>23</v>
      </c>
      <c r="Q21" s="1">
        <v>0</v>
      </c>
      <c r="R21" s="1">
        <v>1</v>
      </c>
      <c r="S21" s="1">
        <v>10</v>
      </c>
      <c r="T21" s="1">
        <v>12</v>
      </c>
      <c r="U21" s="1">
        <v>0</v>
      </c>
      <c r="V21" s="2">
        <v>0</v>
      </c>
      <c r="W21" s="2">
        <v>4.3478260869565197</v>
      </c>
      <c r="X21" s="2">
        <v>95.652173913043498</v>
      </c>
      <c r="Y21" s="2">
        <v>0</v>
      </c>
      <c r="Z21" s="2">
        <v>43.478260869565197</v>
      </c>
    </row>
    <row r="22" spans="1:26" x14ac:dyDescent="0.3">
      <c r="A22" s="2" t="s">
        <v>182</v>
      </c>
      <c r="B22" s="1">
        <v>2404</v>
      </c>
      <c r="C22" s="2" t="s">
        <v>11</v>
      </c>
      <c r="D22" s="1">
        <v>240402</v>
      </c>
      <c r="E22" s="2" t="s">
        <v>15</v>
      </c>
      <c r="F22" s="1">
        <v>2404020002</v>
      </c>
      <c r="G22" s="2" t="s">
        <v>64</v>
      </c>
      <c r="H22" s="1">
        <v>24040203001</v>
      </c>
      <c r="I22" s="2" t="s">
        <v>125</v>
      </c>
      <c r="J22" s="1">
        <v>3</v>
      </c>
      <c r="K22" s="2" t="s">
        <v>12</v>
      </c>
      <c r="L22" s="1">
        <v>1</v>
      </c>
      <c r="M22" s="2" t="s">
        <v>167</v>
      </c>
      <c r="N22" s="2" t="s">
        <v>113</v>
      </c>
      <c r="O22" s="1">
        <v>21</v>
      </c>
      <c r="P22" s="1">
        <v>21</v>
      </c>
      <c r="Q22" s="1">
        <v>0</v>
      </c>
      <c r="R22" s="1">
        <v>6</v>
      </c>
      <c r="S22" s="1">
        <v>3</v>
      </c>
      <c r="T22" s="1">
        <v>10</v>
      </c>
      <c r="U22" s="1">
        <v>2</v>
      </c>
      <c r="V22" s="2">
        <v>0</v>
      </c>
      <c r="W22" s="2">
        <v>28.571428571428601</v>
      </c>
      <c r="X22" s="2">
        <v>61.904761904761898</v>
      </c>
      <c r="Y22" s="2">
        <v>9.5238095238095202</v>
      </c>
      <c r="Z22" s="2">
        <v>14.285714285714301</v>
      </c>
    </row>
    <row r="23" spans="1:26" x14ac:dyDescent="0.3">
      <c r="A23" s="2" t="s">
        <v>182</v>
      </c>
      <c r="B23" s="1">
        <v>2404</v>
      </c>
      <c r="C23" s="2" t="s">
        <v>11</v>
      </c>
      <c r="D23" s="1">
        <v>240402</v>
      </c>
      <c r="E23" s="2" t="s">
        <v>15</v>
      </c>
      <c r="F23" s="1">
        <v>2404020012</v>
      </c>
      <c r="G23" s="2" t="s">
        <v>37</v>
      </c>
      <c r="H23" s="1">
        <v>24040200901</v>
      </c>
      <c r="I23" s="2" t="s">
        <v>119</v>
      </c>
      <c r="J23" s="1">
        <v>3</v>
      </c>
      <c r="K23" s="2" t="s">
        <v>12</v>
      </c>
      <c r="L23" s="1">
        <v>1</v>
      </c>
      <c r="M23" s="2" t="s">
        <v>167</v>
      </c>
      <c r="N23" s="2" t="s">
        <v>113</v>
      </c>
      <c r="O23" s="1">
        <v>66</v>
      </c>
      <c r="P23" s="1">
        <v>66</v>
      </c>
      <c r="Q23" s="1">
        <v>0</v>
      </c>
      <c r="R23" s="1">
        <v>14</v>
      </c>
      <c r="S23" s="1">
        <v>13</v>
      </c>
      <c r="T23" s="1">
        <v>24</v>
      </c>
      <c r="U23" s="1">
        <v>15</v>
      </c>
      <c r="V23" s="2">
        <v>0</v>
      </c>
      <c r="W23" s="2">
        <v>21.2121212121212</v>
      </c>
      <c r="X23" s="2">
        <v>56.060606060606098</v>
      </c>
      <c r="Y23" s="2">
        <v>22.727272727272702</v>
      </c>
      <c r="Z23" s="2">
        <v>19.696969696969699</v>
      </c>
    </row>
    <row r="24" spans="1:26" x14ac:dyDescent="0.3">
      <c r="A24" s="2" t="s">
        <v>182</v>
      </c>
      <c r="B24" s="1">
        <v>2404</v>
      </c>
      <c r="C24" s="2" t="s">
        <v>11</v>
      </c>
      <c r="D24" s="1">
        <v>240402</v>
      </c>
      <c r="E24" s="2" t="s">
        <v>15</v>
      </c>
      <c r="F24" s="1">
        <v>2404020002</v>
      </c>
      <c r="G24" s="2" t="s">
        <v>64</v>
      </c>
      <c r="H24" s="1">
        <v>24040208201</v>
      </c>
      <c r="I24" s="2" t="s">
        <v>139</v>
      </c>
      <c r="J24" s="1">
        <v>3</v>
      </c>
      <c r="K24" s="2" t="s">
        <v>12</v>
      </c>
      <c r="L24" s="1">
        <v>1</v>
      </c>
      <c r="M24" s="2" t="s">
        <v>167</v>
      </c>
      <c r="N24" s="2" t="s">
        <v>113</v>
      </c>
      <c r="O24" s="1">
        <v>16</v>
      </c>
      <c r="P24" s="1">
        <v>16</v>
      </c>
      <c r="Q24" s="1">
        <v>0</v>
      </c>
      <c r="R24" s="1">
        <v>12</v>
      </c>
      <c r="S24" s="1">
        <v>0</v>
      </c>
      <c r="T24" s="1">
        <v>1</v>
      </c>
      <c r="U24" s="1">
        <v>3</v>
      </c>
      <c r="V24" s="2">
        <v>0</v>
      </c>
      <c r="W24" s="2">
        <v>75</v>
      </c>
      <c r="X24" s="2">
        <v>6.25</v>
      </c>
      <c r="Y24" s="2">
        <v>18.75</v>
      </c>
      <c r="Z24" s="2">
        <v>0</v>
      </c>
    </row>
    <row r="25" spans="1:26" x14ac:dyDescent="0.3">
      <c r="A25" s="2" t="s">
        <v>182</v>
      </c>
      <c r="B25" s="1">
        <v>2404</v>
      </c>
      <c r="C25" s="2" t="s">
        <v>11</v>
      </c>
      <c r="D25" s="1">
        <v>240402</v>
      </c>
      <c r="E25" s="2" t="s">
        <v>15</v>
      </c>
      <c r="F25" s="1">
        <v>2404020005</v>
      </c>
      <c r="G25" s="2" t="s">
        <v>83</v>
      </c>
      <c r="H25" s="1">
        <v>24040203301</v>
      </c>
      <c r="I25" s="2" t="s">
        <v>114</v>
      </c>
      <c r="J25" s="1">
        <v>3</v>
      </c>
      <c r="K25" s="2" t="s">
        <v>12</v>
      </c>
      <c r="L25" s="1">
        <v>1</v>
      </c>
      <c r="M25" s="2" t="s">
        <v>167</v>
      </c>
      <c r="N25" s="2" t="s">
        <v>113</v>
      </c>
      <c r="O25" s="1">
        <v>11</v>
      </c>
      <c r="P25" s="1">
        <v>11</v>
      </c>
      <c r="Q25" s="1">
        <v>0</v>
      </c>
      <c r="R25" s="1">
        <v>2</v>
      </c>
      <c r="S25" s="1">
        <v>3</v>
      </c>
      <c r="T25" s="1">
        <v>6</v>
      </c>
      <c r="U25" s="1">
        <v>0</v>
      </c>
      <c r="V25" s="2">
        <v>0</v>
      </c>
      <c r="W25" s="2">
        <v>18.181818181818201</v>
      </c>
      <c r="X25" s="2">
        <v>81.818181818181799</v>
      </c>
      <c r="Y25" s="2">
        <v>0</v>
      </c>
      <c r="Z25" s="2">
        <v>27.272727272727298</v>
      </c>
    </row>
    <row r="26" spans="1:26" x14ac:dyDescent="0.3">
      <c r="A26" s="2" t="s">
        <v>182</v>
      </c>
      <c r="B26" s="1">
        <v>2404</v>
      </c>
      <c r="C26" s="2" t="s">
        <v>11</v>
      </c>
      <c r="D26" s="1">
        <v>240402</v>
      </c>
      <c r="E26" s="2" t="s">
        <v>15</v>
      </c>
      <c r="F26" s="1">
        <v>2404020005</v>
      </c>
      <c r="G26" s="2" t="s">
        <v>83</v>
      </c>
      <c r="H26" s="1">
        <v>24040211901</v>
      </c>
      <c r="I26" s="2" t="s">
        <v>149</v>
      </c>
      <c r="J26" s="1">
        <v>3</v>
      </c>
      <c r="K26" s="2" t="s">
        <v>12</v>
      </c>
      <c r="L26" s="1">
        <v>1</v>
      </c>
      <c r="M26" s="2" t="s">
        <v>167</v>
      </c>
      <c r="N26" s="2" t="s">
        <v>113</v>
      </c>
      <c r="O26" s="1">
        <v>59</v>
      </c>
      <c r="P26" s="1">
        <v>59</v>
      </c>
      <c r="Q26" s="1">
        <v>0</v>
      </c>
      <c r="R26" s="1">
        <v>12</v>
      </c>
      <c r="S26" s="1">
        <v>11</v>
      </c>
      <c r="T26" s="1">
        <v>16</v>
      </c>
      <c r="U26" s="1">
        <v>20</v>
      </c>
      <c r="V26" s="2">
        <v>0</v>
      </c>
      <c r="W26" s="2">
        <v>20.338983050847499</v>
      </c>
      <c r="X26" s="2">
        <v>45.762711864406803</v>
      </c>
      <c r="Y26" s="2">
        <v>33.8983050847458</v>
      </c>
      <c r="Z26" s="2">
        <v>18.644067796610202</v>
      </c>
    </row>
    <row r="27" spans="1:26" x14ac:dyDescent="0.3">
      <c r="A27" s="2" t="s">
        <v>182</v>
      </c>
      <c r="B27" s="1">
        <v>2404</v>
      </c>
      <c r="C27" s="2" t="s">
        <v>11</v>
      </c>
      <c r="D27" s="1">
        <v>240402</v>
      </c>
      <c r="E27" s="2" t="s">
        <v>15</v>
      </c>
      <c r="F27" s="1">
        <v>2404020013</v>
      </c>
      <c r="G27" s="2" t="s">
        <v>23</v>
      </c>
      <c r="H27" s="1">
        <v>24040212201</v>
      </c>
      <c r="I27" s="2" t="s">
        <v>150</v>
      </c>
      <c r="J27" s="1">
        <v>3</v>
      </c>
      <c r="K27" s="2" t="s">
        <v>12</v>
      </c>
      <c r="L27" s="1">
        <v>1</v>
      </c>
      <c r="M27" s="2" t="s">
        <v>167</v>
      </c>
      <c r="N27" s="2" t="s">
        <v>113</v>
      </c>
      <c r="O27" s="1">
        <v>29</v>
      </c>
      <c r="P27" s="1">
        <v>29</v>
      </c>
      <c r="Q27" s="1">
        <v>0</v>
      </c>
      <c r="R27" s="1">
        <v>5</v>
      </c>
      <c r="S27" s="1">
        <v>4</v>
      </c>
      <c r="T27" s="1">
        <v>12</v>
      </c>
      <c r="U27" s="1">
        <v>8</v>
      </c>
      <c r="V27" s="2">
        <v>0</v>
      </c>
      <c r="W27" s="2">
        <v>17.241379310344801</v>
      </c>
      <c r="X27" s="2">
        <v>55.172413793103402</v>
      </c>
      <c r="Y27" s="2">
        <v>27.586206896551701</v>
      </c>
      <c r="Z27" s="2">
        <v>13.7931034482759</v>
      </c>
    </row>
    <row r="28" spans="1:26" x14ac:dyDescent="0.3">
      <c r="A28" s="2" t="s">
        <v>182</v>
      </c>
      <c r="B28" s="1">
        <v>2404</v>
      </c>
      <c r="C28" s="2" t="s">
        <v>11</v>
      </c>
      <c r="D28" s="1">
        <v>240402</v>
      </c>
      <c r="E28" s="2" t="s">
        <v>15</v>
      </c>
      <c r="F28" s="1">
        <v>2404020006</v>
      </c>
      <c r="G28" s="2" t="s">
        <v>56</v>
      </c>
      <c r="H28" s="1">
        <v>24040200701</v>
      </c>
      <c r="I28" s="2" t="s">
        <v>118</v>
      </c>
      <c r="J28" s="1">
        <v>3</v>
      </c>
      <c r="K28" s="2" t="s">
        <v>12</v>
      </c>
      <c r="L28" s="1">
        <v>1</v>
      </c>
      <c r="M28" s="2" t="s">
        <v>167</v>
      </c>
      <c r="N28" s="2" t="s">
        <v>113</v>
      </c>
      <c r="O28" s="1">
        <v>51</v>
      </c>
      <c r="P28" s="1">
        <v>51</v>
      </c>
      <c r="Q28" s="1">
        <v>0</v>
      </c>
      <c r="R28" s="1">
        <v>3</v>
      </c>
      <c r="S28" s="1">
        <v>14</v>
      </c>
      <c r="T28" s="1">
        <v>31</v>
      </c>
      <c r="U28" s="1">
        <v>3</v>
      </c>
      <c r="V28" s="2">
        <v>0</v>
      </c>
      <c r="W28" s="2">
        <v>5.8823529411764701</v>
      </c>
      <c r="X28" s="2">
        <v>88.235294117647101</v>
      </c>
      <c r="Y28" s="2">
        <v>5.8823529411764701</v>
      </c>
      <c r="Z28" s="2">
        <v>27.4509803921569</v>
      </c>
    </row>
    <row r="29" spans="1:26" x14ac:dyDescent="0.3">
      <c r="A29" s="2" t="s">
        <v>182</v>
      </c>
      <c r="B29" s="1">
        <v>2404</v>
      </c>
      <c r="C29" s="2" t="s">
        <v>11</v>
      </c>
      <c r="D29" s="1">
        <v>240402</v>
      </c>
      <c r="E29" s="2" t="s">
        <v>15</v>
      </c>
      <c r="F29" s="1">
        <v>2404020013</v>
      </c>
      <c r="G29" s="2" t="s">
        <v>23</v>
      </c>
      <c r="H29" s="1">
        <v>24040202301</v>
      </c>
      <c r="I29" s="2" t="s">
        <v>123</v>
      </c>
      <c r="J29" s="1">
        <v>3</v>
      </c>
      <c r="K29" s="2" t="s">
        <v>12</v>
      </c>
      <c r="L29" s="1">
        <v>1</v>
      </c>
      <c r="M29" s="2" t="s">
        <v>167</v>
      </c>
      <c r="N29" s="2" t="s">
        <v>113</v>
      </c>
      <c r="O29" s="1">
        <v>18</v>
      </c>
      <c r="P29" s="1">
        <v>18</v>
      </c>
      <c r="Q29" s="1">
        <v>0</v>
      </c>
      <c r="R29" s="1">
        <v>3</v>
      </c>
      <c r="S29" s="1">
        <v>9</v>
      </c>
      <c r="T29" s="1">
        <v>2</v>
      </c>
      <c r="U29" s="1">
        <v>4</v>
      </c>
      <c r="V29" s="2">
        <v>0</v>
      </c>
      <c r="W29" s="2">
        <v>16.6666666666667</v>
      </c>
      <c r="X29" s="2">
        <v>61.1111111111111</v>
      </c>
      <c r="Y29" s="2">
        <v>22.2222222222222</v>
      </c>
      <c r="Z29" s="2">
        <v>50</v>
      </c>
    </row>
    <row r="30" spans="1:26" x14ac:dyDescent="0.3">
      <c r="A30" s="2" t="s">
        <v>182</v>
      </c>
      <c r="B30" s="1">
        <v>2404</v>
      </c>
      <c r="C30" s="2" t="s">
        <v>11</v>
      </c>
      <c r="D30" s="1">
        <v>240402</v>
      </c>
      <c r="E30" s="2" t="s">
        <v>15</v>
      </c>
      <c r="F30" s="1">
        <v>2404020011</v>
      </c>
      <c r="G30" s="2" t="s">
        <v>48</v>
      </c>
      <c r="H30" s="1">
        <v>24040209707</v>
      </c>
      <c r="I30" s="2" t="s">
        <v>143</v>
      </c>
      <c r="J30" s="1">
        <v>3</v>
      </c>
      <c r="K30" s="2" t="s">
        <v>12</v>
      </c>
      <c r="L30" s="1">
        <v>1</v>
      </c>
      <c r="M30" s="2" t="s">
        <v>167</v>
      </c>
      <c r="N30" s="2" t="s">
        <v>113</v>
      </c>
      <c r="O30" s="1">
        <v>74</v>
      </c>
      <c r="P30" s="1">
        <v>74</v>
      </c>
      <c r="Q30" s="1">
        <v>0</v>
      </c>
      <c r="R30" s="1">
        <v>1</v>
      </c>
      <c r="S30" s="1">
        <v>16</v>
      </c>
      <c r="T30" s="1">
        <v>27</v>
      </c>
      <c r="U30" s="1">
        <v>30</v>
      </c>
      <c r="V30" s="2">
        <v>0</v>
      </c>
      <c r="W30" s="2">
        <v>1.35135135135135</v>
      </c>
      <c r="X30" s="2">
        <v>58.108108108108098</v>
      </c>
      <c r="Y30" s="2">
        <v>40.540540540540498</v>
      </c>
      <c r="Z30" s="2">
        <v>21.6216216216216</v>
      </c>
    </row>
    <row r="31" spans="1:26" x14ac:dyDescent="0.3">
      <c r="A31" s="2" t="s">
        <v>182</v>
      </c>
      <c r="B31" s="1">
        <v>2404</v>
      </c>
      <c r="C31" s="2" t="s">
        <v>11</v>
      </c>
      <c r="D31" s="1">
        <v>240402</v>
      </c>
      <c r="E31" s="2" t="s">
        <v>15</v>
      </c>
      <c r="F31" s="1">
        <v>2404020014</v>
      </c>
      <c r="G31" s="2" t="s">
        <v>28</v>
      </c>
      <c r="H31" s="1">
        <v>24040212301</v>
      </c>
      <c r="I31" s="2" t="s">
        <v>151</v>
      </c>
      <c r="J31" s="1">
        <v>3</v>
      </c>
      <c r="K31" s="2" t="s">
        <v>12</v>
      </c>
      <c r="L31" s="1">
        <v>1</v>
      </c>
      <c r="M31" s="2" t="s">
        <v>167</v>
      </c>
      <c r="N31" s="2" t="s">
        <v>113</v>
      </c>
      <c r="O31" s="1">
        <v>13</v>
      </c>
      <c r="P31" s="1">
        <v>13</v>
      </c>
      <c r="Q31" s="1">
        <v>0</v>
      </c>
      <c r="R31" s="1">
        <v>6</v>
      </c>
      <c r="S31" s="1">
        <v>3</v>
      </c>
      <c r="T31" s="1">
        <v>4</v>
      </c>
      <c r="U31" s="1">
        <v>0</v>
      </c>
      <c r="V31" s="2">
        <v>0</v>
      </c>
      <c r="W31" s="2">
        <v>46.153846153846203</v>
      </c>
      <c r="X31" s="2">
        <v>53.846153846153797</v>
      </c>
      <c r="Y31" s="2">
        <v>0</v>
      </c>
      <c r="Z31" s="2">
        <v>23.076923076923102</v>
      </c>
    </row>
    <row r="32" spans="1:26" x14ac:dyDescent="0.3">
      <c r="A32" s="2" t="s">
        <v>182</v>
      </c>
      <c r="B32" s="1">
        <v>2404</v>
      </c>
      <c r="C32" s="2" t="s">
        <v>11</v>
      </c>
      <c r="D32" s="1">
        <v>240402</v>
      </c>
      <c r="E32" s="2" t="s">
        <v>15</v>
      </c>
      <c r="F32" s="1">
        <v>2404020013</v>
      </c>
      <c r="G32" s="2" t="s">
        <v>23</v>
      </c>
      <c r="H32" s="1">
        <v>24040211601</v>
      </c>
      <c r="I32" s="2" t="s">
        <v>147</v>
      </c>
      <c r="J32" s="1">
        <v>3</v>
      </c>
      <c r="K32" s="2" t="s">
        <v>12</v>
      </c>
      <c r="L32" s="1">
        <v>1</v>
      </c>
      <c r="M32" s="2" t="s">
        <v>167</v>
      </c>
      <c r="N32" s="2" t="s">
        <v>113</v>
      </c>
      <c r="O32" s="1">
        <v>11</v>
      </c>
      <c r="P32" s="1">
        <v>11</v>
      </c>
      <c r="Q32" s="1">
        <v>0</v>
      </c>
      <c r="R32" s="1">
        <v>1</v>
      </c>
      <c r="S32" s="1">
        <v>0</v>
      </c>
      <c r="T32" s="1">
        <v>5</v>
      </c>
      <c r="U32" s="1">
        <v>5</v>
      </c>
      <c r="V32" s="2">
        <v>0</v>
      </c>
      <c r="W32" s="2">
        <v>9.0909090909090899</v>
      </c>
      <c r="X32" s="2">
        <v>45.454545454545503</v>
      </c>
      <c r="Y32" s="2">
        <v>45.454545454545503</v>
      </c>
      <c r="Z32" s="2">
        <v>0</v>
      </c>
    </row>
    <row r="33" spans="1:26" x14ac:dyDescent="0.3">
      <c r="A33" s="2" t="s">
        <v>182</v>
      </c>
      <c r="B33" s="1">
        <v>2404</v>
      </c>
      <c r="C33" s="2" t="s">
        <v>11</v>
      </c>
      <c r="D33" s="1">
        <v>240402</v>
      </c>
      <c r="E33" s="2" t="s">
        <v>15</v>
      </c>
      <c r="F33" s="1">
        <v>2404020002</v>
      </c>
      <c r="G33" s="2" t="s">
        <v>64</v>
      </c>
      <c r="H33" s="1">
        <v>24040208102</v>
      </c>
      <c r="I33" s="2" t="s">
        <v>138</v>
      </c>
      <c r="J33" s="1">
        <v>3</v>
      </c>
      <c r="K33" s="2" t="s">
        <v>12</v>
      </c>
      <c r="L33" s="1">
        <v>2</v>
      </c>
      <c r="M33" s="2" t="s">
        <v>166</v>
      </c>
      <c r="N33" s="2" t="s">
        <v>113</v>
      </c>
      <c r="O33" s="1">
        <v>86</v>
      </c>
      <c r="P33" s="1">
        <v>86</v>
      </c>
      <c r="Q33" s="1">
        <v>0</v>
      </c>
      <c r="R33" s="1">
        <v>7</v>
      </c>
      <c r="S33" s="1">
        <v>35</v>
      </c>
      <c r="T33" s="1">
        <v>39</v>
      </c>
      <c r="U33" s="1">
        <v>5</v>
      </c>
      <c r="V33" s="2">
        <v>0</v>
      </c>
      <c r="W33" s="2">
        <v>8.1395348837209305</v>
      </c>
      <c r="X33" s="2">
        <v>86.046511627906995</v>
      </c>
      <c r="Y33" s="2">
        <v>5.81395348837209</v>
      </c>
      <c r="Z33" s="2">
        <v>40.697674418604599</v>
      </c>
    </row>
    <row r="34" spans="1:26" x14ac:dyDescent="0.3">
      <c r="A34" s="2" t="s">
        <v>182</v>
      </c>
      <c r="B34" s="1">
        <v>2404</v>
      </c>
      <c r="C34" s="2" t="s">
        <v>11</v>
      </c>
      <c r="D34" s="1">
        <v>240402</v>
      </c>
      <c r="E34" s="2" t="s">
        <v>15</v>
      </c>
      <c r="F34" s="1">
        <v>2404020005</v>
      </c>
      <c r="G34" s="2" t="s">
        <v>83</v>
      </c>
      <c r="H34" s="1">
        <v>24040210901</v>
      </c>
      <c r="I34" s="2" t="s">
        <v>116</v>
      </c>
      <c r="J34" s="1">
        <v>3</v>
      </c>
      <c r="K34" s="2" t="s">
        <v>12</v>
      </c>
      <c r="L34" s="1">
        <v>2</v>
      </c>
      <c r="M34" s="2" t="s">
        <v>166</v>
      </c>
      <c r="N34" s="2" t="s">
        <v>113</v>
      </c>
      <c r="O34" s="1">
        <v>45</v>
      </c>
      <c r="P34" s="1">
        <v>45</v>
      </c>
      <c r="Q34" s="1">
        <v>0</v>
      </c>
      <c r="R34" s="1">
        <v>10</v>
      </c>
      <c r="S34" s="1">
        <v>22</v>
      </c>
      <c r="T34" s="1">
        <v>11</v>
      </c>
      <c r="U34" s="1">
        <v>2</v>
      </c>
      <c r="V34" s="2">
        <v>0</v>
      </c>
      <c r="W34" s="2">
        <v>22.2222222222222</v>
      </c>
      <c r="X34" s="2">
        <v>73.3333333333333</v>
      </c>
      <c r="Y34" s="2">
        <v>4.4444444444444402</v>
      </c>
      <c r="Z34" s="2">
        <v>48.8888888888889</v>
      </c>
    </row>
    <row r="35" spans="1:26" x14ac:dyDescent="0.3">
      <c r="A35" s="2" t="s">
        <v>182</v>
      </c>
      <c r="B35" s="1">
        <v>2404</v>
      </c>
      <c r="C35" s="2" t="s">
        <v>11</v>
      </c>
      <c r="D35" s="1">
        <v>240402</v>
      </c>
      <c r="E35" s="2" t="s">
        <v>15</v>
      </c>
      <c r="F35" s="1">
        <v>2404020002</v>
      </c>
      <c r="G35" s="2" t="s">
        <v>64</v>
      </c>
      <c r="H35" s="1">
        <v>24040209801</v>
      </c>
      <c r="I35" s="2" t="s">
        <v>144</v>
      </c>
      <c r="J35" s="1">
        <v>3</v>
      </c>
      <c r="K35" s="2" t="s">
        <v>12</v>
      </c>
      <c r="L35" s="1">
        <v>2</v>
      </c>
      <c r="M35" s="2" t="s">
        <v>166</v>
      </c>
      <c r="N35" s="2" t="s">
        <v>113</v>
      </c>
      <c r="O35" s="1">
        <v>46</v>
      </c>
      <c r="P35" s="1">
        <v>46</v>
      </c>
      <c r="Q35" s="1">
        <v>0</v>
      </c>
      <c r="R35" s="1">
        <v>6</v>
      </c>
      <c r="S35" s="1">
        <v>11</v>
      </c>
      <c r="T35" s="1">
        <v>22</v>
      </c>
      <c r="U35" s="1">
        <v>7</v>
      </c>
      <c r="V35" s="2">
        <v>0</v>
      </c>
      <c r="W35" s="2">
        <v>13.0434782608696</v>
      </c>
      <c r="X35" s="2">
        <v>71.739130434782595</v>
      </c>
      <c r="Y35" s="2">
        <v>15.2173913043478</v>
      </c>
      <c r="Z35" s="2">
        <v>23.913043478260899</v>
      </c>
    </row>
    <row r="36" spans="1:26" x14ac:dyDescent="0.3">
      <c r="A36" s="2" t="s">
        <v>182</v>
      </c>
      <c r="B36" s="1">
        <v>2404</v>
      </c>
      <c r="C36" s="2" t="s">
        <v>11</v>
      </c>
      <c r="D36" s="1">
        <v>240402</v>
      </c>
      <c r="E36" s="2" t="s">
        <v>15</v>
      </c>
      <c r="F36" s="1">
        <v>2404020002</v>
      </c>
      <c r="G36" s="2" t="s">
        <v>64</v>
      </c>
      <c r="H36" s="1">
        <v>24040211401</v>
      </c>
      <c r="I36" s="2" t="s">
        <v>146</v>
      </c>
      <c r="J36" s="1">
        <v>3</v>
      </c>
      <c r="K36" s="2" t="s">
        <v>12</v>
      </c>
      <c r="L36" s="1">
        <v>2</v>
      </c>
      <c r="M36" s="2" t="s">
        <v>166</v>
      </c>
      <c r="N36" s="2" t="s">
        <v>113</v>
      </c>
      <c r="O36" s="1">
        <v>59</v>
      </c>
      <c r="P36" s="1">
        <v>59</v>
      </c>
      <c r="Q36" s="1">
        <v>0</v>
      </c>
      <c r="R36" s="1">
        <v>15</v>
      </c>
      <c r="S36" s="1">
        <v>24</v>
      </c>
      <c r="T36" s="1">
        <v>16</v>
      </c>
      <c r="U36" s="1">
        <v>4</v>
      </c>
      <c r="V36" s="2">
        <v>0</v>
      </c>
      <c r="W36" s="2">
        <v>25.4237288135593</v>
      </c>
      <c r="X36" s="2">
        <v>67.796610169491501</v>
      </c>
      <c r="Y36" s="2">
        <v>6.7796610169491496</v>
      </c>
      <c r="Z36" s="2">
        <v>40.677966101694899</v>
      </c>
    </row>
    <row r="37" spans="1:26" x14ac:dyDescent="0.3">
      <c r="A37" s="2" t="s">
        <v>182</v>
      </c>
      <c r="B37" s="1">
        <v>2404</v>
      </c>
      <c r="C37" s="2" t="s">
        <v>11</v>
      </c>
      <c r="D37" s="1">
        <v>240402</v>
      </c>
      <c r="E37" s="2" t="s">
        <v>15</v>
      </c>
      <c r="F37" s="1">
        <v>2404020006</v>
      </c>
      <c r="G37" s="2" t="s">
        <v>56</v>
      </c>
      <c r="H37" s="1">
        <v>24040205301</v>
      </c>
      <c r="I37" s="2" t="s">
        <v>132</v>
      </c>
      <c r="J37" s="1">
        <v>3</v>
      </c>
      <c r="K37" s="2" t="s">
        <v>12</v>
      </c>
      <c r="L37" s="1">
        <v>2</v>
      </c>
      <c r="M37" s="2" t="s">
        <v>166</v>
      </c>
      <c r="N37" s="2" t="s">
        <v>113</v>
      </c>
      <c r="O37" s="1">
        <v>73</v>
      </c>
      <c r="P37" s="1">
        <v>73</v>
      </c>
      <c r="Q37" s="1">
        <v>0</v>
      </c>
      <c r="R37" s="1">
        <v>1</v>
      </c>
      <c r="S37" s="1">
        <v>12</v>
      </c>
      <c r="T37" s="1">
        <v>26</v>
      </c>
      <c r="U37" s="1">
        <v>34</v>
      </c>
      <c r="V37" s="2">
        <v>0</v>
      </c>
      <c r="W37" s="2">
        <v>1.3698630136986301</v>
      </c>
      <c r="X37" s="2">
        <v>52.054794520547901</v>
      </c>
      <c r="Y37" s="2">
        <v>46.575342465753401</v>
      </c>
      <c r="Z37" s="2">
        <v>16.438356164383599</v>
      </c>
    </row>
    <row r="38" spans="1:26" x14ac:dyDescent="0.3">
      <c r="A38" s="2" t="s">
        <v>182</v>
      </c>
      <c r="B38" s="1">
        <v>2404</v>
      </c>
      <c r="C38" s="2" t="s">
        <v>11</v>
      </c>
      <c r="D38" s="1">
        <v>240402</v>
      </c>
      <c r="E38" s="2" t="s">
        <v>15</v>
      </c>
      <c r="F38" s="1">
        <v>2404020011</v>
      </c>
      <c r="G38" s="2" t="s">
        <v>48</v>
      </c>
      <c r="H38" s="1">
        <v>24040212901</v>
      </c>
      <c r="I38" s="2" t="s">
        <v>152</v>
      </c>
      <c r="J38" s="1">
        <v>3</v>
      </c>
      <c r="K38" s="2" t="s">
        <v>12</v>
      </c>
      <c r="L38" s="1">
        <v>2</v>
      </c>
      <c r="M38" s="2" t="s">
        <v>166</v>
      </c>
      <c r="N38" s="2" t="s">
        <v>113</v>
      </c>
      <c r="O38" s="1">
        <v>96</v>
      </c>
      <c r="P38" s="1">
        <v>96</v>
      </c>
      <c r="Q38" s="1">
        <v>0</v>
      </c>
      <c r="R38" s="1">
        <v>26</v>
      </c>
      <c r="S38" s="1">
        <v>45</v>
      </c>
      <c r="T38" s="1">
        <v>19</v>
      </c>
      <c r="U38" s="1">
        <v>6</v>
      </c>
      <c r="V38" s="2">
        <v>0</v>
      </c>
      <c r="W38" s="2">
        <v>27.0833333333333</v>
      </c>
      <c r="X38" s="2">
        <v>66.6666666666667</v>
      </c>
      <c r="Y38" s="2">
        <v>6.25</v>
      </c>
      <c r="Z38" s="2">
        <v>46.875</v>
      </c>
    </row>
    <row r="39" spans="1:26" x14ac:dyDescent="0.3">
      <c r="A39" s="2" t="s">
        <v>182</v>
      </c>
      <c r="B39" s="1">
        <v>2404</v>
      </c>
      <c r="C39" s="2" t="s">
        <v>11</v>
      </c>
      <c r="D39" s="1">
        <v>240402</v>
      </c>
      <c r="E39" s="2" t="s">
        <v>15</v>
      </c>
      <c r="F39" s="1">
        <v>2404020006</v>
      </c>
      <c r="G39" s="2" t="s">
        <v>56</v>
      </c>
      <c r="H39" s="1">
        <v>24040204101</v>
      </c>
      <c r="I39" s="2" t="s">
        <v>127</v>
      </c>
      <c r="J39" s="1">
        <v>3</v>
      </c>
      <c r="K39" s="2" t="s">
        <v>12</v>
      </c>
      <c r="L39" s="1">
        <v>2</v>
      </c>
      <c r="M39" s="2" t="s">
        <v>166</v>
      </c>
      <c r="N39" s="2" t="s">
        <v>113</v>
      </c>
      <c r="O39" s="1">
        <v>37</v>
      </c>
      <c r="P39" s="1">
        <v>37</v>
      </c>
      <c r="Q39" s="1">
        <v>0</v>
      </c>
      <c r="R39" s="1">
        <v>10</v>
      </c>
      <c r="S39" s="1">
        <v>7</v>
      </c>
      <c r="T39" s="1">
        <v>10</v>
      </c>
      <c r="U39" s="1">
        <v>10</v>
      </c>
      <c r="V39" s="2">
        <v>0</v>
      </c>
      <c r="W39" s="2">
        <v>27.027027027027</v>
      </c>
      <c r="X39" s="2">
        <v>45.945945945946001</v>
      </c>
      <c r="Y39" s="2">
        <v>27.027027027027</v>
      </c>
      <c r="Z39" s="2">
        <v>18.918918918918902</v>
      </c>
    </row>
    <row r="40" spans="1:26" x14ac:dyDescent="0.3">
      <c r="A40" s="2" t="s">
        <v>182</v>
      </c>
      <c r="B40" s="1">
        <v>2404</v>
      </c>
      <c r="C40" s="2" t="s">
        <v>11</v>
      </c>
      <c r="D40" s="1">
        <v>240402</v>
      </c>
      <c r="E40" s="2" t="s">
        <v>15</v>
      </c>
      <c r="F40" s="1">
        <v>2404020014</v>
      </c>
      <c r="G40" s="2" t="s">
        <v>28</v>
      </c>
      <c r="H40" s="1">
        <v>24040208101</v>
      </c>
      <c r="I40" s="2" t="s">
        <v>137</v>
      </c>
      <c r="J40" s="1">
        <v>3</v>
      </c>
      <c r="K40" s="2" t="s">
        <v>12</v>
      </c>
      <c r="L40" s="1">
        <v>2</v>
      </c>
      <c r="M40" s="2" t="s">
        <v>166</v>
      </c>
      <c r="N40" s="2" t="s">
        <v>113</v>
      </c>
      <c r="O40" s="1">
        <v>71</v>
      </c>
      <c r="P40" s="1">
        <v>71</v>
      </c>
      <c r="Q40" s="1">
        <v>0</v>
      </c>
      <c r="R40" s="1">
        <v>4</v>
      </c>
      <c r="S40" s="1">
        <v>29</v>
      </c>
      <c r="T40" s="1">
        <v>29</v>
      </c>
      <c r="U40" s="1">
        <v>9</v>
      </c>
      <c r="V40" s="2">
        <v>0</v>
      </c>
      <c r="W40" s="2">
        <v>5.6338028169014098</v>
      </c>
      <c r="X40" s="2">
        <v>81.690140845070403</v>
      </c>
      <c r="Y40" s="2">
        <v>12.6760563380282</v>
      </c>
      <c r="Z40" s="2">
        <v>40.845070422535201</v>
      </c>
    </row>
    <row r="41" spans="1:26" x14ac:dyDescent="0.3">
      <c r="A41" s="2" t="s">
        <v>182</v>
      </c>
      <c r="B41" s="1">
        <v>2404</v>
      </c>
      <c r="C41" s="2" t="s">
        <v>11</v>
      </c>
      <c r="D41" s="1">
        <v>240402</v>
      </c>
      <c r="E41" s="2" t="s">
        <v>15</v>
      </c>
      <c r="F41" s="1">
        <v>2404020014</v>
      </c>
      <c r="G41" s="2" t="s">
        <v>28</v>
      </c>
      <c r="H41" s="1">
        <v>24040214001</v>
      </c>
      <c r="I41" s="2" t="s">
        <v>154</v>
      </c>
      <c r="J41" s="1">
        <v>3</v>
      </c>
      <c r="K41" s="2" t="s">
        <v>12</v>
      </c>
      <c r="L41" s="1">
        <v>2</v>
      </c>
      <c r="M41" s="2" t="s">
        <v>166</v>
      </c>
      <c r="N41" s="2" t="s">
        <v>113</v>
      </c>
      <c r="O41" s="1">
        <v>75</v>
      </c>
      <c r="P41" s="1">
        <v>75</v>
      </c>
      <c r="Q41" s="1">
        <v>0</v>
      </c>
      <c r="R41" s="1">
        <v>8</v>
      </c>
      <c r="S41" s="1">
        <v>13</v>
      </c>
      <c r="T41" s="1">
        <v>39</v>
      </c>
      <c r="U41" s="1">
        <v>15</v>
      </c>
      <c r="V41" s="2">
        <v>0</v>
      </c>
      <c r="W41" s="2">
        <v>10.6666666666667</v>
      </c>
      <c r="X41" s="2">
        <v>69.3333333333333</v>
      </c>
      <c r="Y41" s="2">
        <v>20</v>
      </c>
      <c r="Z41" s="2">
        <v>17.3333333333333</v>
      </c>
    </row>
    <row r="42" spans="1:26" x14ac:dyDescent="0.3">
      <c r="A42" s="2" t="s">
        <v>182</v>
      </c>
      <c r="B42" s="1">
        <v>2404</v>
      </c>
      <c r="C42" s="2" t="s">
        <v>11</v>
      </c>
      <c r="D42" s="1">
        <v>240402</v>
      </c>
      <c r="E42" s="2" t="s">
        <v>15</v>
      </c>
      <c r="F42" s="1">
        <v>2404020014</v>
      </c>
      <c r="G42" s="2" t="s">
        <v>28</v>
      </c>
      <c r="H42" s="1">
        <v>24040204301</v>
      </c>
      <c r="I42" s="2" t="s">
        <v>128</v>
      </c>
      <c r="J42" s="1">
        <v>3</v>
      </c>
      <c r="K42" s="2" t="s">
        <v>12</v>
      </c>
      <c r="L42" s="1">
        <v>2</v>
      </c>
      <c r="M42" s="2" t="s">
        <v>166</v>
      </c>
      <c r="N42" s="2" t="s">
        <v>113</v>
      </c>
      <c r="O42" s="1">
        <v>90</v>
      </c>
      <c r="P42" s="1">
        <v>90</v>
      </c>
      <c r="Q42" s="1">
        <v>0</v>
      </c>
      <c r="R42" s="1">
        <v>25</v>
      </c>
      <c r="S42" s="1">
        <v>32</v>
      </c>
      <c r="T42" s="1">
        <v>26</v>
      </c>
      <c r="U42" s="1">
        <v>7</v>
      </c>
      <c r="V42" s="2">
        <v>0</v>
      </c>
      <c r="W42" s="2">
        <v>27.7777777777778</v>
      </c>
      <c r="X42" s="2">
        <v>64.4444444444444</v>
      </c>
      <c r="Y42" s="2">
        <v>7.7777777777777803</v>
      </c>
      <c r="Z42" s="2">
        <v>35.5555555555556</v>
      </c>
    </row>
    <row r="43" spans="1:26" x14ac:dyDescent="0.3">
      <c r="A43" s="2" t="s">
        <v>182</v>
      </c>
      <c r="B43" s="1">
        <v>2404</v>
      </c>
      <c r="C43" s="2" t="s">
        <v>11</v>
      </c>
      <c r="D43" s="1">
        <v>240402</v>
      </c>
      <c r="E43" s="2" t="s">
        <v>15</v>
      </c>
      <c r="F43" s="1">
        <v>2404020001</v>
      </c>
      <c r="G43" s="2" t="s">
        <v>26</v>
      </c>
      <c r="H43" s="1">
        <v>24040201101</v>
      </c>
      <c r="I43" s="2" t="s">
        <v>27</v>
      </c>
      <c r="J43" s="1">
        <v>3</v>
      </c>
      <c r="K43" s="2" t="s">
        <v>12</v>
      </c>
      <c r="L43" s="1">
        <v>2</v>
      </c>
      <c r="M43" s="2" t="s">
        <v>166</v>
      </c>
      <c r="N43" s="2" t="s">
        <v>13</v>
      </c>
      <c r="O43" s="1">
        <v>121</v>
      </c>
      <c r="P43" s="1">
        <v>121</v>
      </c>
      <c r="Q43" s="1">
        <v>0</v>
      </c>
      <c r="R43" s="1">
        <v>60</v>
      </c>
      <c r="S43" s="1">
        <v>30</v>
      </c>
      <c r="T43" s="1">
        <v>23</v>
      </c>
      <c r="U43" s="1">
        <v>8</v>
      </c>
      <c r="V43" s="2">
        <v>0</v>
      </c>
      <c r="W43" s="2">
        <v>49.586776859504099</v>
      </c>
      <c r="X43" s="2">
        <v>43.801652892561997</v>
      </c>
      <c r="Y43" s="2">
        <v>6.61157024793388</v>
      </c>
      <c r="Z43" s="2">
        <v>24.793388429752099</v>
      </c>
    </row>
    <row r="44" spans="1:26" x14ac:dyDescent="0.3">
      <c r="A44" s="2" t="s">
        <v>182</v>
      </c>
      <c r="B44" s="1">
        <v>2404</v>
      </c>
      <c r="C44" s="2" t="s">
        <v>11</v>
      </c>
      <c r="D44" s="1">
        <v>240402</v>
      </c>
      <c r="E44" s="2" t="s">
        <v>15</v>
      </c>
      <c r="F44" s="1">
        <v>2404020001</v>
      </c>
      <c r="G44" s="2" t="s">
        <v>26</v>
      </c>
      <c r="H44" s="1">
        <v>24040202801</v>
      </c>
      <c r="I44" s="2" t="s">
        <v>162</v>
      </c>
      <c r="J44" s="1">
        <v>3</v>
      </c>
      <c r="K44" s="2" t="s">
        <v>12</v>
      </c>
      <c r="L44" s="1">
        <v>2</v>
      </c>
      <c r="M44" s="2" t="s">
        <v>166</v>
      </c>
      <c r="N44" s="2" t="s">
        <v>13</v>
      </c>
      <c r="O44" s="1">
        <v>136</v>
      </c>
      <c r="P44" s="1">
        <v>136</v>
      </c>
      <c r="Q44" s="1">
        <v>0</v>
      </c>
      <c r="R44" s="1">
        <v>25</v>
      </c>
      <c r="S44" s="1">
        <v>37</v>
      </c>
      <c r="T44" s="1">
        <v>43</v>
      </c>
      <c r="U44" s="1">
        <v>31</v>
      </c>
      <c r="V44" s="2">
        <v>0</v>
      </c>
      <c r="W44" s="2">
        <v>18.382352941176499</v>
      </c>
      <c r="X44" s="2">
        <v>58.823529411764703</v>
      </c>
      <c r="Y44" s="2">
        <v>22.794117647058801</v>
      </c>
      <c r="Z44" s="2">
        <v>27.205882352941199</v>
      </c>
    </row>
    <row r="45" spans="1:26" x14ac:dyDescent="0.3">
      <c r="A45" s="2" t="s">
        <v>182</v>
      </c>
      <c r="B45" s="1">
        <v>2404</v>
      </c>
      <c r="C45" s="2" t="s">
        <v>11</v>
      </c>
      <c r="D45" s="1">
        <v>240402</v>
      </c>
      <c r="E45" s="2" t="s">
        <v>15</v>
      </c>
      <c r="F45" s="1">
        <v>2404020001</v>
      </c>
      <c r="G45" s="2" t="s">
        <v>26</v>
      </c>
      <c r="H45" s="1">
        <v>24040212101</v>
      </c>
      <c r="I45" s="2" t="s">
        <v>96</v>
      </c>
      <c r="J45" s="1">
        <v>3</v>
      </c>
      <c r="K45" s="2" t="s">
        <v>12</v>
      </c>
      <c r="L45" s="1">
        <v>2</v>
      </c>
      <c r="M45" s="2" t="s">
        <v>166</v>
      </c>
      <c r="N45" s="2" t="s">
        <v>13</v>
      </c>
      <c r="O45" s="1">
        <v>145</v>
      </c>
      <c r="P45" s="1">
        <v>145</v>
      </c>
      <c r="Q45" s="1">
        <v>0</v>
      </c>
      <c r="R45" s="1">
        <v>37</v>
      </c>
      <c r="S45" s="1">
        <v>29</v>
      </c>
      <c r="T45" s="1">
        <v>47</v>
      </c>
      <c r="U45" s="1">
        <v>32</v>
      </c>
      <c r="V45" s="2">
        <v>0</v>
      </c>
      <c r="W45" s="2">
        <v>25.517241379310299</v>
      </c>
      <c r="X45" s="2">
        <v>52.413793103448299</v>
      </c>
      <c r="Y45" s="2">
        <v>22.068965517241399</v>
      </c>
      <c r="Z45" s="2">
        <v>20</v>
      </c>
    </row>
    <row r="46" spans="1:26" x14ac:dyDescent="0.3">
      <c r="A46" s="2" t="s">
        <v>182</v>
      </c>
      <c r="B46" s="1">
        <v>2404</v>
      </c>
      <c r="C46" s="2" t="s">
        <v>11</v>
      </c>
      <c r="D46" s="1">
        <v>240402</v>
      </c>
      <c r="E46" s="2" t="s">
        <v>15</v>
      </c>
      <c r="F46" s="1">
        <v>2404020003</v>
      </c>
      <c r="G46" s="2" t="s">
        <v>45</v>
      </c>
      <c r="H46" s="1">
        <v>24040211701</v>
      </c>
      <c r="I46" s="2" t="s">
        <v>95</v>
      </c>
      <c r="J46" s="1">
        <v>3</v>
      </c>
      <c r="K46" s="2" t="s">
        <v>12</v>
      </c>
      <c r="L46" s="1">
        <v>2</v>
      </c>
      <c r="M46" s="2" t="s">
        <v>166</v>
      </c>
      <c r="N46" s="2" t="s">
        <v>13</v>
      </c>
      <c r="O46" s="1">
        <v>93</v>
      </c>
      <c r="P46" s="1">
        <v>93</v>
      </c>
      <c r="Q46" s="1">
        <v>0</v>
      </c>
      <c r="R46" s="1">
        <v>1</v>
      </c>
      <c r="S46" s="1">
        <v>27</v>
      </c>
      <c r="T46" s="1">
        <v>46</v>
      </c>
      <c r="U46" s="1">
        <v>19</v>
      </c>
      <c r="V46" s="2">
        <v>0</v>
      </c>
      <c r="W46" s="2">
        <v>1.0752688172042999</v>
      </c>
      <c r="X46" s="2">
        <v>78.494623655913998</v>
      </c>
      <c r="Y46" s="2">
        <v>20.430107526881699</v>
      </c>
      <c r="Z46" s="2">
        <v>29.0322580645161</v>
      </c>
    </row>
    <row r="47" spans="1:26" x14ac:dyDescent="0.3">
      <c r="A47" s="2" t="s">
        <v>182</v>
      </c>
      <c r="B47" s="1">
        <v>2404</v>
      </c>
      <c r="C47" s="2" t="s">
        <v>11</v>
      </c>
      <c r="D47" s="1">
        <v>240402</v>
      </c>
      <c r="E47" s="2" t="s">
        <v>15</v>
      </c>
      <c r="F47" s="1">
        <v>2404020005</v>
      </c>
      <c r="G47" s="2" t="s">
        <v>83</v>
      </c>
      <c r="H47" s="1">
        <v>24040210201</v>
      </c>
      <c r="I47" s="2" t="s">
        <v>84</v>
      </c>
      <c r="J47" s="1">
        <v>3</v>
      </c>
      <c r="K47" s="2" t="s">
        <v>12</v>
      </c>
      <c r="L47" s="1">
        <v>2</v>
      </c>
      <c r="M47" s="2" t="s">
        <v>166</v>
      </c>
      <c r="N47" s="2" t="s">
        <v>13</v>
      </c>
      <c r="O47" s="1">
        <v>122</v>
      </c>
      <c r="P47" s="1">
        <v>122</v>
      </c>
      <c r="Q47" s="1">
        <v>0</v>
      </c>
      <c r="R47" s="1">
        <v>38</v>
      </c>
      <c r="S47" s="1">
        <v>38</v>
      </c>
      <c r="T47" s="1">
        <v>33</v>
      </c>
      <c r="U47" s="1">
        <v>13</v>
      </c>
      <c r="V47" s="2">
        <v>0</v>
      </c>
      <c r="W47" s="2">
        <v>31.1475409836066</v>
      </c>
      <c r="X47" s="2">
        <v>58.1967213114754</v>
      </c>
      <c r="Y47" s="2">
        <v>10.655737704918</v>
      </c>
      <c r="Z47" s="2">
        <v>31.1475409836066</v>
      </c>
    </row>
    <row r="48" spans="1:26" x14ac:dyDescent="0.3">
      <c r="A48" s="2" t="s">
        <v>182</v>
      </c>
      <c r="B48" s="1">
        <v>2404</v>
      </c>
      <c r="C48" s="2" t="s">
        <v>11</v>
      </c>
      <c r="D48" s="1">
        <v>240402</v>
      </c>
      <c r="E48" s="2" t="s">
        <v>15</v>
      </c>
      <c r="F48" s="1">
        <v>2404020001</v>
      </c>
      <c r="G48" s="2" t="s">
        <v>26</v>
      </c>
      <c r="H48" s="1">
        <v>24040210101</v>
      </c>
      <c r="I48" s="2" t="s">
        <v>82</v>
      </c>
      <c r="J48" s="1">
        <v>3</v>
      </c>
      <c r="K48" s="2" t="s">
        <v>12</v>
      </c>
      <c r="L48" s="1">
        <v>2</v>
      </c>
      <c r="M48" s="2" t="s">
        <v>166</v>
      </c>
      <c r="N48" s="2" t="s">
        <v>13</v>
      </c>
      <c r="O48" s="1">
        <v>244</v>
      </c>
      <c r="P48" s="1">
        <v>244</v>
      </c>
      <c r="Q48" s="1">
        <v>0</v>
      </c>
      <c r="R48" s="1">
        <v>77</v>
      </c>
      <c r="S48" s="1">
        <v>75</v>
      </c>
      <c r="T48" s="1">
        <v>65</v>
      </c>
      <c r="U48" s="1">
        <v>27</v>
      </c>
      <c r="V48" s="2">
        <v>0</v>
      </c>
      <c r="W48" s="2">
        <v>31.5573770491803</v>
      </c>
      <c r="X48" s="2">
        <v>57.377049180327901</v>
      </c>
      <c r="Y48" s="2">
        <v>11.065573770491801</v>
      </c>
      <c r="Z48" s="2">
        <v>30.737704918032801</v>
      </c>
    </row>
    <row r="49" spans="1:26" x14ac:dyDescent="0.3">
      <c r="A49" s="2" t="s">
        <v>182</v>
      </c>
      <c r="B49" s="1">
        <v>2404</v>
      </c>
      <c r="C49" s="2" t="s">
        <v>11</v>
      </c>
      <c r="D49" s="1">
        <v>240402</v>
      </c>
      <c r="E49" s="2" t="s">
        <v>15</v>
      </c>
      <c r="F49" s="1">
        <v>2404020005</v>
      </c>
      <c r="G49" s="2" t="s">
        <v>83</v>
      </c>
      <c r="H49" s="1">
        <v>24040210701</v>
      </c>
      <c r="I49" s="2" t="s">
        <v>88</v>
      </c>
      <c r="J49" s="1">
        <v>3</v>
      </c>
      <c r="K49" s="2" t="s">
        <v>12</v>
      </c>
      <c r="L49" s="1">
        <v>2</v>
      </c>
      <c r="M49" s="2" t="s">
        <v>166</v>
      </c>
      <c r="N49" s="2" t="s">
        <v>13</v>
      </c>
      <c r="O49" s="1">
        <v>120</v>
      </c>
      <c r="P49" s="1">
        <v>120</v>
      </c>
      <c r="Q49" s="1">
        <v>0</v>
      </c>
      <c r="R49" s="1">
        <v>42</v>
      </c>
      <c r="S49" s="1">
        <v>33</v>
      </c>
      <c r="T49" s="1">
        <v>30</v>
      </c>
      <c r="U49" s="1">
        <v>15</v>
      </c>
      <c r="V49" s="2">
        <v>0</v>
      </c>
      <c r="W49" s="2">
        <v>35</v>
      </c>
      <c r="X49" s="2">
        <v>52.5</v>
      </c>
      <c r="Y49" s="2">
        <v>12.5</v>
      </c>
      <c r="Z49" s="2">
        <v>27.5</v>
      </c>
    </row>
    <row r="50" spans="1:26" x14ac:dyDescent="0.3">
      <c r="A50" s="2" t="s">
        <v>182</v>
      </c>
      <c r="B50" s="1">
        <v>2404</v>
      </c>
      <c r="C50" s="2" t="s">
        <v>11</v>
      </c>
      <c r="D50" s="1">
        <v>240402</v>
      </c>
      <c r="E50" s="2" t="s">
        <v>15</v>
      </c>
      <c r="F50" s="1">
        <v>2404020007</v>
      </c>
      <c r="G50" s="2" t="s">
        <v>16</v>
      </c>
      <c r="H50" s="1">
        <v>24040200201</v>
      </c>
      <c r="I50" s="2" t="s">
        <v>17</v>
      </c>
      <c r="J50" s="1">
        <v>3</v>
      </c>
      <c r="K50" s="2" t="s">
        <v>12</v>
      </c>
      <c r="L50" s="1">
        <v>2</v>
      </c>
      <c r="M50" s="2" t="s">
        <v>166</v>
      </c>
      <c r="N50" s="2" t="s">
        <v>13</v>
      </c>
      <c r="O50" s="1">
        <v>244</v>
      </c>
      <c r="P50" s="1">
        <v>244</v>
      </c>
      <c r="Q50" s="1">
        <v>0</v>
      </c>
      <c r="R50" s="1">
        <v>113</v>
      </c>
      <c r="S50" s="1">
        <v>80</v>
      </c>
      <c r="T50" s="1">
        <v>35</v>
      </c>
      <c r="U50" s="1">
        <v>16</v>
      </c>
      <c r="V50" s="2">
        <v>0</v>
      </c>
      <c r="W50" s="2">
        <v>46.311475409836099</v>
      </c>
      <c r="X50" s="2">
        <v>47.131147540983598</v>
      </c>
      <c r="Y50" s="2">
        <v>6.5573770491803298</v>
      </c>
      <c r="Z50" s="2">
        <v>32.786885245901601</v>
      </c>
    </row>
    <row r="51" spans="1:26" x14ac:dyDescent="0.3">
      <c r="A51" s="2" t="s">
        <v>182</v>
      </c>
      <c r="B51" s="1">
        <v>2404</v>
      </c>
      <c r="C51" s="2" t="s">
        <v>11</v>
      </c>
      <c r="D51" s="1">
        <v>240402</v>
      </c>
      <c r="E51" s="2" t="s">
        <v>15</v>
      </c>
      <c r="F51" s="1">
        <v>2404020009</v>
      </c>
      <c r="G51" s="2" t="s">
        <v>34</v>
      </c>
      <c r="H51" s="1">
        <v>24040201901</v>
      </c>
      <c r="I51" s="2" t="s">
        <v>35</v>
      </c>
      <c r="J51" s="1">
        <v>3</v>
      </c>
      <c r="K51" s="2" t="s">
        <v>12</v>
      </c>
      <c r="L51" s="1">
        <v>2</v>
      </c>
      <c r="M51" s="2" t="s">
        <v>166</v>
      </c>
      <c r="N51" s="2" t="s">
        <v>13</v>
      </c>
      <c r="O51" s="1">
        <v>329</v>
      </c>
      <c r="P51" s="1">
        <v>329</v>
      </c>
      <c r="Q51" s="1">
        <v>0</v>
      </c>
      <c r="R51" s="1">
        <v>113</v>
      </c>
      <c r="S51" s="1">
        <v>114</v>
      </c>
      <c r="T51" s="1">
        <v>77</v>
      </c>
      <c r="U51" s="1">
        <v>25</v>
      </c>
      <c r="V51" s="2">
        <v>0</v>
      </c>
      <c r="W51" s="2">
        <v>34.3465045592705</v>
      </c>
      <c r="X51" s="2">
        <v>58.054711246200597</v>
      </c>
      <c r="Y51" s="2">
        <v>7.5987841945288697</v>
      </c>
      <c r="Z51" s="2">
        <v>34.650455927051702</v>
      </c>
    </row>
    <row r="52" spans="1:26" x14ac:dyDescent="0.3">
      <c r="A52" s="2" t="s">
        <v>182</v>
      </c>
      <c r="B52" s="1">
        <v>2404</v>
      </c>
      <c r="C52" s="2" t="s">
        <v>11</v>
      </c>
      <c r="D52" s="1">
        <v>240402</v>
      </c>
      <c r="E52" s="2" t="s">
        <v>15</v>
      </c>
      <c r="F52" s="1">
        <v>2404020010</v>
      </c>
      <c r="G52" s="2" t="s">
        <v>20</v>
      </c>
      <c r="H52" s="1">
        <v>24040203101</v>
      </c>
      <c r="I52" s="2" t="s">
        <v>42</v>
      </c>
      <c r="J52" s="1">
        <v>3</v>
      </c>
      <c r="K52" s="2" t="s">
        <v>12</v>
      </c>
      <c r="L52" s="1">
        <v>2</v>
      </c>
      <c r="M52" s="2" t="s">
        <v>166</v>
      </c>
      <c r="N52" s="2" t="s">
        <v>13</v>
      </c>
      <c r="O52" s="1">
        <v>179</v>
      </c>
      <c r="P52" s="1">
        <v>179</v>
      </c>
      <c r="Q52" s="1">
        <v>0</v>
      </c>
      <c r="R52" s="1">
        <v>34</v>
      </c>
      <c r="S52" s="1">
        <v>44</v>
      </c>
      <c r="T52" s="1">
        <v>73</v>
      </c>
      <c r="U52" s="1">
        <v>28</v>
      </c>
      <c r="V52" s="2">
        <v>0</v>
      </c>
      <c r="W52" s="2">
        <v>18.994413407821199</v>
      </c>
      <c r="X52" s="2">
        <v>65.363128491620103</v>
      </c>
      <c r="Y52" s="2">
        <v>15.6424581005587</v>
      </c>
      <c r="Z52" s="2">
        <v>24.581005586592202</v>
      </c>
    </row>
    <row r="53" spans="1:26" x14ac:dyDescent="0.3">
      <c r="A53" s="2" t="s">
        <v>182</v>
      </c>
      <c r="B53" s="1">
        <v>2404</v>
      </c>
      <c r="C53" s="2" t="s">
        <v>11</v>
      </c>
      <c r="D53" s="1">
        <v>240402</v>
      </c>
      <c r="E53" s="2" t="s">
        <v>15</v>
      </c>
      <c r="F53" s="1">
        <v>2404020010</v>
      </c>
      <c r="G53" s="2" t="s">
        <v>20</v>
      </c>
      <c r="H53" s="1">
        <v>24040209101</v>
      </c>
      <c r="I53" s="2" t="s">
        <v>75</v>
      </c>
      <c r="J53" s="1">
        <v>3</v>
      </c>
      <c r="K53" s="2" t="s">
        <v>12</v>
      </c>
      <c r="L53" s="1">
        <v>2</v>
      </c>
      <c r="M53" s="2" t="s">
        <v>166</v>
      </c>
      <c r="N53" s="2" t="s">
        <v>13</v>
      </c>
      <c r="O53" s="1">
        <v>101</v>
      </c>
      <c r="P53" s="1">
        <v>101</v>
      </c>
      <c r="Q53" s="1">
        <v>0</v>
      </c>
      <c r="R53" s="1">
        <v>17</v>
      </c>
      <c r="S53" s="1">
        <v>22</v>
      </c>
      <c r="T53" s="1">
        <v>36</v>
      </c>
      <c r="U53" s="1">
        <v>26</v>
      </c>
      <c r="V53" s="2">
        <v>0</v>
      </c>
      <c r="W53" s="2">
        <v>16.8316831683168</v>
      </c>
      <c r="X53" s="2">
        <v>57.425742574257399</v>
      </c>
      <c r="Y53" s="2">
        <v>25.742574257425701</v>
      </c>
      <c r="Z53" s="2">
        <v>21.782178217821802</v>
      </c>
    </row>
    <row r="54" spans="1:26" x14ac:dyDescent="0.3">
      <c r="A54" s="2" t="s">
        <v>182</v>
      </c>
      <c r="B54" s="1">
        <v>2404</v>
      </c>
      <c r="C54" s="2" t="s">
        <v>11</v>
      </c>
      <c r="D54" s="1">
        <v>240402</v>
      </c>
      <c r="E54" s="2" t="s">
        <v>15</v>
      </c>
      <c r="F54" s="1">
        <v>2404020010</v>
      </c>
      <c r="G54" s="2" t="s">
        <v>20</v>
      </c>
      <c r="H54" s="1">
        <v>24040210601</v>
      </c>
      <c r="I54" s="2" t="s">
        <v>87</v>
      </c>
      <c r="J54" s="1">
        <v>3</v>
      </c>
      <c r="K54" s="2" t="s">
        <v>12</v>
      </c>
      <c r="L54" s="1">
        <v>2</v>
      </c>
      <c r="M54" s="2" t="s">
        <v>166</v>
      </c>
      <c r="N54" s="2" t="s">
        <v>13</v>
      </c>
      <c r="O54" s="1">
        <v>383</v>
      </c>
      <c r="P54" s="1">
        <v>383</v>
      </c>
      <c r="Q54" s="1">
        <v>0</v>
      </c>
      <c r="R54" s="1">
        <v>101</v>
      </c>
      <c r="S54" s="1">
        <v>112</v>
      </c>
      <c r="T54" s="1">
        <v>134</v>
      </c>
      <c r="U54" s="1">
        <v>36</v>
      </c>
      <c r="V54" s="2">
        <v>0</v>
      </c>
      <c r="W54" s="2">
        <v>26.370757180156701</v>
      </c>
      <c r="X54" s="2">
        <v>64.229765013054802</v>
      </c>
      <c r="Y54" s="2">
        <v>9.3994778067885107</v>
      </c>
      <c r="Z54" s="2">
        <v>29.242819843342001</v>
      </c>
    </row>
    <row r="55" spans="1:26" x14ac:dyDescent="0.3">
      <c r="A55" s="2" t="s">
        <v>182</v>
      </c>
      <c r="B55" s="1">
        <v>2404</v>
      </c>
      <c r="C55" s="2" t="s">
        <v>11</v>
      </c>
      <c r="D55" s="1">
        <v>240402</v>
      </c>
      <c r="E55" s="2" t="s">
        <v>15</v>
      </c>
      <c r="F55" s="1">
        <v>2404020008</v>
      </c>
      <c r="G55" s="2" t="s">
        <v>18</v>
      </c>
      <c r="H55" s="1">
        <v>24040200301</v>
      </c>
      <c r="I55" s="2" t="s">
        <v>19</v>
      </c>
      <c r="J55" s="1">
        <v>3</v>
      </c>
      <c r="K55" s="2" t="s">
        <v>12</v>
      </c>
      <c r="L55" s="1">
        <v>2</v>
      </c>
      <c r="M55" s="2" t="s">
        <v>166</v>
      </c>
      <c r="N55" s="2" t="s">
        <v>13</v>
      </c>
      <c r="O55" s="1">
        <v>209</v>
      </c>
      <c r="P55" s="1">
        <v>209</v>
      </c>
      <c r="Q55" s="1">
        <v>0</v>
      </c>
      <c r="R55" s="1">
        <v>37</v>
      </c>
      <c r="S55" s="1">
        <v>41</v>
      </c>
      <c r="T55" s="1">
        <v>76</v>
      </c>
      <c r="U55" s="1">
        <v>55</v>
      </c>
      <c r="V55" s="2">
        <v>0</v>
      </c>
      <c r="W55" s="2">
        <v>17.703349282296699</v>
      </c>
      <c r="X55" s="2">
        <v>55.980861244019103</v>
      </c>
      <c r="Y55" s="2">
        <v>26.315789473684202</v>
      </c>
      <c r="Z55" s="2">
        <v>19.6172248803828</v>
      </c>
    </row>
    <row r="56" spans="1:26" x14ac:dyDescent="0.3">
      <c r="A56" s="2" t="s">
        <v>182</v>
      </c>
      <c r="B56" s="1">
        <v>2404</v>
      </c>
      <c r="C56" s="2" t="s">
        <v>11</v>
      </c>
      <c r="D56" s="1">
        <v>240402</v>
      </c>
      <c r="E56" s="2" t="s">
        <v>15</v>
      </c>
      <c r="F56" s="1">
        <v>2404020008</v>
      </c>
      <c r="G56" s="2" t="s">
        <v>18</v>
      </c>
      <c r="H56" s="1">
        <v>24040209601</v>
      </c>
      <c r="I56" s="2" t="s">
        <v>78</v>
      </c>
      <c r="J56" s="1">
        <v>3</v>
      </c>
      <c r="K56" s="2" t="s">
        <v>12</v>
      </c>
      <c r="L56" s="1">
        <v>2</v>
      </c>
      <c r="M56" s="2" t="s">
        <v>166</v>
      </c>
      <c r="N56" s="2" t="s">
        <v>13</v>
      </c>
      <c r="O56" s="1">
        <v>115</v>
      </c>
      <c r="P56" s="1">
        <v>115</v>
      </c>
      <c r="Q56" s="1">
        <v>0</v>
      </c>
      <c r="R56" s="1">
        <v>42</v>
      </c>
      <c r="S56" s="1">
        <v>27</v>
      </c>
      <c r="T56" s="1">
        <v>30</v>
      </c>
      <c r="U56" s="1">
        <v>16</v>
      </c>
      <c r="V56" s="2">
        <v>0</v>
      </c>
      <c r="W56" s="2">
        <v>36.521739130434803</v>
      </c>
      <c r="X56" s="2">
        <v>49.565217391304401</v>
      </c>
      <c r="Y56" s="2">
        <v>13.913043478260899</v>
      </c>
      <c r="Z56" s="2">
        <v>23.478260869565201</v>
      </c>
    </row>
    <row r="57" spans="1:26" x14ac:dyDescent="0.3">
      <c r="A57" s="2" t="s">
        <v>182</v>
      </c>
      <c r="B57" s="1">
        <v>2404</v>
      </c>
      <c r="C57" s="2" t="s">
        <v>11</v>
      </c>
      <c r="D57" s="1">
        <v>240402</v>
      </c>
      <c r="E57" s="2" t="s">
        <v>15</v>
      </c>
      <c r="F57" s="1">
        <v>2404020010</v>
      </c>
      <c r="G57" s="2" t="s">
        <v>20</v>
      </c>
      <c r="H57" s="1">
        <v>24040202501</v>
      </c>
      <c r="I57" s="2" t="s">
        <v>39</v>
      </c>
      <c r="J57" s="1">
        <v>3</v>
      </c>
      <c r="K57" s="2" t="s">
        <v>12</v>
      </c>
      <c r="L57" s="1">
        <v>2</v>
      </c>
      <c r="M57" s="2" t="s">
        <v>166</v>
      </c>
      <c r="N57" s="2" t="s">
        <v>13</v>
      </c>
      <c r="O57" s="1">
        <v>240</v>
      </c>
      <c r="P57" s="1">
        <v>240</v>
      </c>
      <c r="Q57" s="1">
        <v>0</v>
      </c>
      <c r="R57" s="1">
        <v>21</v>
      </c>
      <c r="S57" s="1">
        <v>69</v>
      </c>
      <c r="T57" s="1">
        <v>124</v>
      </c>
      <c r="U57" s="1">
        <v>26</v>
      </c>
      <c r="V57" s="2">
        <v>0</v>
      </c>
      <c r="W57" s="2">
        <v>8.75</v>
      </c>
      <c r="X57" s="2">
        <v>80.4166666666667</v>
      </c>
      <c r="Y57" s="2">
        <v>10.8333333333333</v>
      </c>
      <c r="Z57" s="2">
        <v>28.75</v>
      </c>
    </row>
    <row r="58" spans="1:26" x14ac:dyDescent="0.3">
      <c r="A58" s="2" t="s">
        <v>182</v>
      </c>
      <c r="B58" s="1">
        <v>2404</v>
      </c>
      <c r="C58" s="2" t="s">
        <v>11</v>
      </c>
      <c r="D58" s="1">
        <v>240402</v>
      </c>
      <c r="E58" s="2" t="s">
        <v>15</v>
      </c>
      <c r="F58" s="1">
        <v>2404020014</v>
      </c>
      <c r="G58" s="2" t="s">
        <v>28</v>
      </c>
      <c r="H58" s="1">
        <v>24040203801</v>
      </c>
      <c r="I58" s="2" t="s">
        <v>44</v>
      </c>
      <c r="J58" s="1">
        <v>3</v>
      </c>
      <c r="K58" s="2" t="s">
        <v>12</v>
      </c>
      <c r="L58" s="1">
        <v>2</v>
      </c>
      <c r="M58" s="2" t="s">
        <v>166</v>
      </c>
      <c r="N58" s="2" t="s">
        <v>13</v>
      </c>
      <c r="O58" s="1">
        <v>124</v>
      </c>
      <c r="P58" s="1">
        <v>124</v>
      </c>
      <c r="Q58" s="1">
        <v>0</v>
      </c>
      <c r="R58" s="1">
        <v>37</v>
      </c>
      <c r="S58" s="1">
        <v>36</v>
      </c>
      <c r="T58" s="1">
        <v>50</v>
      </c>
      <c r="U58" s="1">
        <v>1</v>
      </c>
      <c r="V58" s="2">
        <v>0</v>
      </c>
      <c r="W58" s="2">
        <v>29.838709677419399</v>
      </c>
      <c r="X58" s="2">
        <v>69.354838709677395</v>
      </c>
      <c r="Y58" s="2">
        <v>0.80645161290322598</v>
      </c>
      <c r="Z58" s="2">
        <v>29.0322580645161</v>
      </c>
    </row>
    <row r="59" spans="1:26" x14ac:dyDescent="0.3">
      <c r="A59" s="2" t="s">
        <v>182</v>
      </c>
      <c r="B59" s="1">
        <v>2404</v>
      </c>
      <c r="C59" s="2" t="s">
        <v>11</v>
      </c>
      <c r="D59" s="1">
        <v>240402</v>
      </c>
      <c r="E59" s="2" t="s">
        <v>15</v>
      </c>
      <c r="F59" s="1">
        <v>2404020006</v>
      </c>
      <c r="G59" s="2" t="s">
        <v>56</v>
      </c>
      <c r="H59" s="1">
        <v>24040206801</v>
      </c>
      <c r="I59" s="2" t="s">
        <v>57</v>
      </c>
      <c r="J59" s="1">
        <v>3</v>
      </c>
      <c r="K59" s="2" t="s">
        <v>12</v>
      </c>
      <c r="L59" s="1">
        <v>2</v>
      </c>
      <c r="M59" s="2" t="s">
        <v>166</v>
      </c>
      <c r="N59" s="2" t="s">
        <v>13</v>
      </c>
      <c r="O59" s="1">
        <v>194</v>
      </c>
      <c r="P59" s="1">
        <v>194</v>
      </c>
      <c r="Q59" s="1">
        <v>0</v>
      </c>
      <c r="R59" s="1">
        <v>67</v>
      </c>
      <c r="S59" s="1">
        <v>55</v>
      </c>
      <c r="T59" s="1">
        <v>46</v>
      </c>
      <c r="U59" s="1">
        <v>26</v>
      </c>
      <c r="V59" s="2">
        <v>0</v>
      </c>
      <c r="W59" s="2">
        <v>34.536082474226802</v>
      </c>
      <c r="X59" s="2">
        <v>52.0618556701031</v>
      </c>
      <c r="Y59" s="2">
        <v>13.4020618556701</v>
      </c>
      <c r="Z59" s="2">
        <v>28.3505154639175</v>
      </c>
    </row>
    <row r="60" spans="1:26" x14ac:dyDescent="0.3">
      <c r="A60" s="2" t="s">
        <v>182</v>
      </c>
      <c r="B60" s="1">
        <v>2404</v>
      </c>
      <c r="C60" s="2" t="s">
        <v>11</v>
      </c>
      <c r="D60" s="1">
        <v>240402</v>
      </c>
      <c r="E60" s="2" t="s">
        <v>15</v>
      </c>
      <c r="F60" s="1">
        <v>2404020007</v>
      </c>
      <c r="G60" s="2" t="s">
        <v>16</v>
      </c>
      <c r="H60" s="1">
        <v>24040207101</v>
      </c>
      <c r="I60" s="2" t="s">
        <v>59</v>
      </c>
      <c r="J60" s="1">
        <v>3</v>
      </c>
      <c r="K60" s="2" t="s">
        <v>12</v>
      </c>
      <c r="L60" s="1">
        <v>2</v>
      </c>
      <c r="M60" s="2" t="s">
        <v>166</v>
      </c>
      <c r="N60" s="2" t="s">
        <v>13</v>
      </c>
      <c r="O60" s="1">
        <v>406</v>
      </c>
      <c r="P60" s="1">
        <v>406</v>
      </c>
      <c r="Q60" s="1">
        <v>0</v>
      </c>
      <c r="R60" s="1">
        <v>230</v>
      </c>
      <c r="S60" s="1">
        <v>105</v>
      </c>
      <c r="T60" s="1">
        <v>56</v>
      </c>
      <c r="U60" s="1">
        <v>15</v>
      </c>
      <c r="V60" s="2">
        <v>0</v>
      </c>
      <c r="W60" s="2">
        <v>56.650246305418698</v>
      </c>
      <c r="X60" s="2">
        <v>39.655172413793103</v>
      </c>
      <c r="Y60" s="2">
        <v>3.6945812807881802</v>
      </c>
      <c r="Z60" s="2">
        <v>25.862068965517199</v>
      </c>
    </row>
    <row r="61" spans="1:26" x14ac:dyDescent="0.3">
      <c r="A61" s="2" t="s">
        <v>182</v>
      </c>
      <c r="B61" s="1">
        <v>2404</v>
      </c>
      <c r="C61" s="2" t="s">
        <v>11</v>
      </c>
      <c r="D61" s="1">
        <v>240402</v>
      </c>
      <c r="E61" s="2" t="s">
        <v>15</v>
      </c>
      <c r="F61" s="1">
        <v>2404020009</v>
      </c>
      <c r="G61" s="2" t="s">
        <v>34</v>
      </c>
      <c r="H61" s="1">
        <v>24040207301</v>
      </c>
      <c r="I61" s="2" t="s">
        <v>61</v>
      </c>
      <c r="J61" s="1">
        <v>3</v>
      </c>
      <c r="K61" s="2" t="s">
        <v>12</v>
      </c>
      <c r="L61" s="1">
        <v>2</v>
      </c>
      <c r="M61" s="2" t="s">
        <v>166</v>
      </c>
      <c r="N61" s="2" t="s">
        <v>13</v>
      </c>
      <c r="O61" s="1">
        <v>103</v>
      </c>
      <c r="P61" s="1">
        <v>103</v>
      </c>
      <c r="Q61" s="1">
        <v>0</v>
      </c>
      <c r="R61" s="1">
        <v>5</v>
      </c>
      <c r="S61" s="1">
        <v>11</v>
      </c>
      <c r="T61" s="1">
        <v>45</v>
      </c>
      <c r="U61" s="1">
        <v>42</v>
      </c>
      <c r="V61" s="2">
        <v>0</v>
      </c>
      <c r="W61" s="2">
        <v>4.8543689320388301</v>
      </c>
      <c r="X61" s="2">
        <v>54.368932038834899</v>
      </c>
      <c r="Y61" s="2">
        <v>40.776699029126199</v>
      </c>
      <c r="Z61" s="2">
        <v>10.6796116504854</v>
      </c>
    </row>
    <row r="62" spans="1:26" x14ac:dyDescent="0.3">
      <c r="A62" s="2" t="s">
        <v>182</v>
      </c>
      <c r="B62" s="1">
        <v>2404</v>
      </c>
      <c r="C62" s="2" t="s">
        <v>11</v>
      </c>
      <c r="D62" s="1">
        <v>240402</v>
      </c>
      <c r="E62" s="2" t="s">
        <v>15</v>
      </c>
      <c r="F62" s="1">
        <v>2404020012</v>
      </c>
      <c r="G62" s="2" t="s">
        <v>37</v>
      </c>
      <c r="H62" s="1">
        <v>24040202101</v>
      </c>
      <c r="I62" s="2" t="s">
        <v>14</v>
      </c>
      <c r="J62" s="1">
        <v>3</v>
      </c>
      <c r="K62" s="2" t="s">
        <v>12</v>
      </c>
      <c r="L62" s="1">
        <v>2</v>
      </c>
      <c r="M62" s="2" t="s">
        <v>166</v>
      </c>
      <c r="N62" s="2" t="s">
        <v>13</v>
      </c>
      <c r="O62" s="1">
        <v>237</v>
      </c>
      <c r="P62" s="1">
        <v>237</v>
      </c>
      <c r="Q62" s="1">
        <v>0</v>
      </c>
      <c r="R62" s="1">
        <v>100</v>
      </c>
      <c r="S62" s="1">
        <v>58</v>
      </c>
      <c r="T62" s="1">
        <v>57</v>
      </c>
      <c r="U62" s="1">
        <v>22</v>
      </c>
      <c r="V62" s="2">
        <v>0</v>
      </c>
      <c r="W62" s="2">
        <v>42.194092827004198</v>
      </c>
      <c r="X62" s="2">
        <v>48.5232067510549</v>
      </c>
      <c r="Y62" s="2">
        <v>9.2827004219409304</v>
      </c>
      <c r="Z62" s="2">
        <v>24.472573839662399</v>
      </c>
    </row>
    <row r="63" spans="1:26" x14ac:dyDescent="0.3">
      <c r="A63" s="2" t="s">
        <v>182</v>
      </c>
      <c r="B63" s="1">
        <v>2404</v>
      </c>
      <c r="C63" s="2" t="s">
        <v>11</v>
      </c>
      <c r="D63" s="1">
        <v>240402</v>
      </c>
      <c r="E63" s="2" t="s">
        <v>15</v>
      </c>
      <c r="F63" s="1">
        <v>2404020006</v>
      </c>
      <c r="G63" s="2" t="s">
        <v>56</v>
      </c>
      <c r="H63" s="1">
        <v>24040213101</v>
      </c>
      <c r="I63" s="2" t="s">
        <v>103</v>
      </c>
      <c r="J63" s="1">
        <v>3</v>
      </c>
      <c r="K63" s="2" t="s">
        <v>12</v>
      </c>
      <c r="L63" s="1">
        <v>2</v>
      </c>
      <c r="M63" s="2" t="s">
        <v>166</v>
      </c>
      <c r="N63" s="2" t="s">
        <v>13</v>
      </c>
      <c r="O63" s="1">
        <v>154</v>
      </c>
      <c r="P63" s="1">
        <v>154</v>
      </c>
      <c r="Q63" s="1">
        <v>0</v>
      </c>
      <c r="R63" s="1">
        <v>47</v>
      </c>
      <c r="S63" s="1">
        <v>47</v>
      </c>
      <c r="T63" s="1">
        <v>51</v>
      </c>
      <c r="U63" s="1">
        <v>9</v>
      </c>
      <c r="V63" s="2">
        <v>0</v>
      </c>
      <c r="W63" s="2">
        <v>30.519480519480499</v>
      </c>
      <c r="X63" s="2">
        <v>63.636363636363598</v>
      </c>
      <c r="Y63" s="2">
        <v>5.8441558441558401</v>
      </c>
      <c r="Z63" s="2">
        <v>30.519480519480499</v>
      </c>
    </row>
    <row r="64" spans="1:26" x14ac:dyDescent="0.3">
      <c r="A64" s="2" t="s">
        <v>182</v>
      </c>
      <c r="B64" s="1">
        <v>2404</v>
      </c>
      <c r="C64" s="2" t="s">
        <v>11</v>
      </c>
      <c r="D64" s="1">
        <v>240402</v>
      </c>
      <c r="E64" s="2" t="s">
        <v>15</v>
      </c>
      <c r="F64" s="1">
        <v>2404020008</v>
      </c>
      <c r="G64" s="2" t="s">
        <v>18</v>
      </c>
      <c r="H64" s="1">
        <v>24040207501</v>
      </c>
      <c r="I64" s="2" t="s">
        <v>63</v>
      </c>
      <c r="J64" s="1">
        <v>3</v>
      </c>
      <c r="K64" s="2" t="s">
        <v>12</v>
      </c>
      <c r="L64" s="1">
        <v>2</v>
      </c>
      <c r="M64" s="2" t="s">
        <v>166</v>
      </c>
      <c r="N64" s="2" t="s">
        <v>13</v>
      </c>
      <c r="O64" s="1">
        <v>542</v>
      </c>
      <c r="P64" s="1">
        <v>542</v>
      </c>
      <c r="Q64" s="1">
        <v>0</v>
      </c>
      <c r="R64" s="1">
        <v>171</v>
      </c>
      <c r="S64" s="1">
        <v>114</v>
      </c>
      <c r="T64" s="1">
        <v>166</v>
      </c>
      <c r="U64" s="1">
        <v>91</v>
      </c>
      <c r="V64" s="2">
        <v>0</v>
      </c>
      <c r="W64" s="2">
        <v>31.549815498154999</v>
      </c>
      <c r="X64" s="2">
        <v>51.660516605166102</v>
      </c>
      <c r="Y64" s="2">
        <v>16.789667896678999</v>
      </c>
      <c r="Z64" s="2">
        <v>21.033210332103302</v>
      </c>
    </row>
    <row r="65" spans="1:26" x14ac:dyDescent="0.3">
      <c r="A65" s="2" t="s">
        <v>182</v>
      </c>
      <c r="B65" s="1">
        <v>2404</v>
      </c>
      <c r="C65" s="2" t="s">
        <v>11</v>
      </c>
      <c r="D65" s="1">
        <v>240402</v>
      </c>
      <c r="E65" s="2" t="s">
        <v>15</v>
      </c>
      <c r="F65" s="1">
        <v>2404020009</v>
      </c>
      <c r="G65" s="2" t="s">
        <v>34</v>
      </c>
      <c r="H65" s="1">
        <v>24040205701</v>
      </c>
      <c r="I65" s="2" t="s">
        <v>54</v>
      </c>
      <c r="J65" s="1">
        <v>3</v>
      </c>
      <c r="K65" s="2" t="s">
        <v>12</v>
      </c>
      <c r="L65" s="1">
        <v>2</v>
      </c>
      <c r="M65" s="2" t="s">
        <v>166</v>
      </c>
      <c r="N65" s="2" t="s">
        <v>13</v>
      </c>
      <c r="O65" s="1">
        <v>118</v>
      </c>
      <c r="P65" s="1">
        <v>118</v>
      </c>
      <c r="Q65" s="1">
        <v>0</v>
      </c>
      <c r="R65" s="1">
        <v>11</v>
      </c>
      <c r="S65" s="1">
        <v>27</v>
      </c>
      <c r="T65" s="1">
        <v>46</v>
      </c>
      <c r="U65" s="1">
        <v>34</v>
      </c>
      <c r="V65" s="2">
        <v>0</v>
      </c>
      <c r="W65" s="2">
        <v>9.3220338983050794</v>
      </c>
      <c r="X65" s="2">
        <v>61.864406779661003</v>
      </c>
      <c r="Y65" s="2">
        <v>28.8135593220339</v>
      </c>
      <c r="Z65" s="2">
        <v>22.881355932203402</v>
      </c>
    </row>
    <row r="66" spans="1:26" x14ac:dyDescent="0.3">
      <c r="A66" s="2" t="s">
        <v>182</v>
      </c>
      <c r="B66" s="1">
        <v>2404</v>
      </c>
      <c r="C66" s="2" t="s">
        <v>11</v>
      </c>
      <c r="D66" s="1">
        <v>240402</v>
      </c>
      <c r="E66" s="2" t="s">
        <v>15</v>
      </c>
      <c r="F66" s="1">
        <v>2404020010</v>
      </c>
      <c r="G66" s="2" t="s">
        <v>20</v>
      </c>
      <c r="H66" s="1">
        <v>24040209501</v>
      </c>
      <c r="I66" s="2" t="s">
        <v>77</v>
      </c>
      <c r="J66" s="1">
        <v>3</v>
      </c>
      <c r="K66" s="2" t="s">
        <v>12</v>
      </c>
      <c r="L66" s="1">
        <v>2</v>
      </c>
      <c r="M66" s="2" t="s">
        <v>166</v>
      </c>
      <c r="N66" s="2" t="s">
        <v>13</v>
      </c>
      <c r="O66" s="1">
        <v>136</v>
      </c>
      <c r="P66" s="1">
        <v>136</v>
      </c>
      <c r="Q66" s="1">
        <v>0</v>
      </c>
      <c r="R66" s="1">
        <v>36</v>
      </c>
      <c r="S66" s="1">
        <v>48</v>
      </c>
      <c r="T66" s="1">
        <v>40</v>
      </c>
      <c r="U66" s="1">
        <v>12</v>
      </c>
      <c r="V66" s="2">
        <v>0</v>
      </c>
      <c r="W66" s="2">
        <v>26.470588235294102</v>
      </c>
      <c r="X66" s="2">
        <v>64.705882352941202</v>
      </c>
      <c r="Y66" s="2">
        <v>8.8235294117647101</v>
      </c>
      <c r="Z66" s="2">
        <v>35.294117647058798</v>
      </c>
    </row>
    <row r="67" spans="1:26" x14ac:dyDescent="0.3">
      <c r="A67" s="2" t="s">
        <v>182</v>
      </c>
      <c r="B67" s="1">
        <v>2404</v>
      </c>
      <c r="C67" s="2" t="s">
        <v>11</v>
      </c>
      <c r="D67" s="1">
        <v>240402</v>
      </c>
      <c r="E67" s="2" t="s">
        <v>15</v>
      </c>
      <c r="F67" s="1">
        <v>2404020011</v>
      </c>
      <c r="G67" s="2" t="s">
        <v>48</v>
      </c>
      <c r="H67" s="1">
        <v>24040204401</v>
      </c>
      <c r="I67" s="2" t="s">
        <v>49</v>
      </c>
      <c r="J67" s="1">
        <v>3</v>
      </c>
      <c r="K67" s="2" t="s">
        <v>12</v>
      </c>
      <c r="L67" s="1">
        <v>2</v>
      </c>
      <c r="M67" s="2" t="s">
        <v>166</v>
      </c>
      <c r="N67" s="2" t="s">
        <v>13</v>
      </c>
      <c r="O67" s="1">
        <v>167</v>
      </c>
      <c r="P67" s="1">
        <v>167</v>
      </c>
      <c r="Q67" s="1">
        <v>0</v>
      </c>
      <c r="R67" s="1">
        <v>54</v>
      </c>
      <c r="S67" s="1">
        <v>44</v>
      </c>
      <c r="T67" s="1">
        <v>43</v>
      </c>
      <c r="U67" s="1">
        <v>26</v>
      </c>
      <c r="V67" s="2">
        <v>0</v>
      </c>
      <c r="W67" s="2">
        <v>32.335329341317397</v>
      </c>
      <c r="X67" s="2">
        <v>52.095808383233503</v>
      </c>
      <c r="Y67" s="2">
        <v>15.568862275449099</v>
      </c>
      <c r="Z67" s="2">
        <v>26.347305389221599</v>
      </c>
    </row>
    <row r="68" spans="1:26" x14ac:dyDescent="0.3">
      <c r="A68" s="2" t="s">
        <v>182</v>
      </c>
      <c r="B68" s="1">
        <v>2404</v>
      </c>
      <c r="C68" s="2" t="s">
        <v>11</v>
      </c>
      <c r="D68" s="1">
        <v>240402</v>
      </c>
      <c r="E68" s="2" t="s">
        <v>15</v>
      </c>
      <c r="F68" s="1">
        <v>2404020011</v>
      </c>
      <c r="G68" s="2" t="s">
        <v>48</v>
      </c>
      <c r="H68" s="1">
        <v>24040209701</v>
      </c>
      <c r="I68" s="2" t="s">
        <v>79</v>
      </c>
      <c r="J68" s="1">
        <v>3</v>
      </c>
      <c r="K68" s="2" t="s">
        <v>12</v>
      </c>
      <c r="L68" s="1">
        <v>2</v>
      </c>
      <c r="M68" s="2" t="s">
        <v>166</v>
      </c>
      <c r="N68" s="2" t="s">
        <v>13</v>
      </c>
      <c r="O68" s="1">
        <v>272</v>
      </c>
      <c r="P68" s="1">
        <v>272</v>
      </c>
      <c r="Q68" s="1">
        <v>0</v>
      </c>
      <c r="R68" s="1">
        <v>82</v>
      </c>
      <c r="S68" s="1">
        <v>98</v>
      </c>
      <c r="T68" s="1">
        <v>92</v>
      </c>
      <c r="U68" s="1">
        <v>0</v>
      </c>
      <c r="V68" s="2">
        <v>0</v>
      </c>
      <c r="W68" s="2">
        <v>30.147058823529399</v>
      </c>
      <c r="X68" s="2">
        <v>69.852941176470594</v>
      </c>
      <c r="Y68" s="2">
        <v>0</v>
      </c>
      <c r="Z68" s="2">
        <v>36.029411764705898</v>
      </c>
    </row>
    <row r="69" spans="1:26" x14ac:dyDescent="0.3">
      <c r="A69" s="2" t="s">
        <v>182</v>
      </c>
      <c r="B69" s="1">
        <v>2404</v>
      </c>
      <c r="C69" s="2" t="s">
        <v>11</v>
      </c>
      <c r="D69" s="1">
        <v>240402</v>
      </c>
      <c r="E69" s="2" t="s">
        <v>15</v>
      </c>
      <c r="F69" s="1">
        <v>2404020011</v>
      </c>
      <c r="G69" s="2" t="s">
        <v>48</v>
      </c>
      <c r="H69" s="1">
        <v>24040209702</v>
      </c>
      <c r="I69" s="2" t="s">
        <v>80</v>
      </c>
      <c r="J69" s="1">
        <v>3</v>
      </c>
      <c r="K69" s="2" t="s">
        <v>12</v>
      </c>
      <c r="L69" s="1">
        <v>2</v>
      </c>
      <c r="M69" s="2" t="s">
        <v>166</v>
      </c>
      <c r="N69" s="2" t="s">
        <v>13</v>
      </c>
      <c r="O69" s="1">
        <v>311</v>
      </c>
      <c r="P69" s="1">
        <v>311</v>
      </c>
      <c r="Q69" s="1">
        <v>0</v>
      </c>
      <c r="R69" s="1">
        <v>127</v>
      </c>
      <c r="S69" s="1">
        <v>100</v>
      </c>
      <c r="T69" s="1">
        <v>78</v>
      </c>
      <c r="U69" s="1">
        <v>6</v>
      </c>
      <c r="V69" s="2">
        <v>0</v>
      </c>
      <c r="W69" s="2">
        <v>40.8360128617363</v>
      </c>
      <c r="X69" s="2">
        <v>57.234726688102903</v>
      </c>
      <c r="Y69" s="2">
        <v>1.92926045016077</v>
      </c>
      <c r="Z69" s="2">
        <v>32.154340836012899</v>
      </c>
    </row>
    <row r="70" spans="1:26" x14ac:dyDescent="0.3">
      <c r="A70" s="2" t="s">
        <v>182</v>
      </c>
      <c r="B70" s="1">
        <v>2404</v>
      </c>
      <c r="C70" s="2" t="s">
        <v>11</v>
      </c>
      <c r="D70" s="1">
        <v>240402</v>
      </c>
      <c r="E70" s="2" t="s">
        <v>15</v>
      </c>
      <c r="F70" s="1">
        <v>2404020005</v>
      </c>
      <c r="G70" s="2" t="s">
        <v>83</v>
      </c>
      <c r="H70" s="1">
        <v>24040211001</v>
      </c>
      <c r="I70" s="2" t="s">
        <v>91</v>
      </c>
      <c r="J70" s="1">
        <v>3</v>
      </c>
      <c r="K70" s="2" t="s">
        <v>12</v>
      </c>
      <c r="L70" s="1">
        <v>2</v>
      </c>
      <c r="M70" s="2" t="s">
        <v>166</v>
      </c>
      <c r="N70" s="2" t="s">
        <v>13</v>
      </c>
      <c r="O70" s="1">
        <v>157</v>
      </c>
      <c r="P70" s="1">
        <v>156</v>
      </c>
      <c r="Q70" s="1">
        <v>1</v>
      </c>
      <c r="R70" s="1">
        <v>52</v>
      </c>
      <c r="S70" s="1">
        <v>48</v>
      </c>
      <c r="T70" s="1">
        <v>42</v>
      </c>
      <c r="U70" s="1">
        <v>14</v>
      </c>
      <c r="V70" s="2">
        <v>0.63694267515923597</v>
      </c>
      <c r="W70" s="2">
        <v>33.3333333333333</v>
      </c>
      <c r="X70" s="2">
        <v>57.692307692307701</v>
      </c>
      <c r="Y70" s="2">
        <v>8.9743589743589691</v>
      </c>
      <c r="Z70" s="2">
        <v>30.769230769230798</v>
      </c>
    </row>
    <row r="71" spans="1:26" x14ac:dyDescent="0.3">
      <c r="A71" s="2" t="s">
        <v>182</v>
      </c>
      <c r="B71" s="1">
        <v>2404</v>
      </c>
      <c r="C71" s="2" t="s">
        <v>11</v>
      </c>
      <c r="D71" s="1">
        <v>240402</v>
      </c>
      <c r="E71" s="2" t="s">
        <v>15</v>
      </c>
      <c r="F71" s="1">
        <v>2404020003</v>
      </c>
      <c r="G71" s="2" t="s">
        <v>45</v>
      </c>
      <c r="H71" s="1">
        <v>24040204001</v>
      </c>
      <c r="I71" s="2" t="s">
        <v>46</v>
      </c>
      <c r="J71" s="1">
        <v>3</v>
      </c>
      <c r="K71" s="2" t="s">
        <v>12</v>
      </c>
      <c r="L71" s="1">
        <v>2</v>
      </c>
      <c r="M71" s="2" t="s">
        <v>166</v>
      </c>
      <c r="N71" s="2" t="s">
        <v>13</v>
      </c>
      <c r="O71" s="1">
        <v>122</v>
      </c>
      <c r="P71" s="1">
        <v>121</v>
      </c>
      <c r="Q71" s="1">
        <v>1</v>
      </c>
      <c r="R71" s="1">
        <v>39</v>
      </c>
      <c r="S71" s="1">
        <v>29</v>
      </c>
      <c r="T71" s="1">
        <v>37</v>
      </c>
      <c r="U71" s="1">
        <v>16</v>
      </c>
      <c r="V71" s="2">
        <v>0.81967213114754101</v>
      </c>
      <c r="W71" s="2">
        <v>32.2314049586777</v>
      </c>
      <c r="X71" s="2">
        <v>54.545454545454497</v>
      </c>
      <c r="Y71" s="2">
        <v>13.223140495867799</v>
      </c>
      <c r="Z71" s="2">
        <v>23.9669421487603</v>
      </c>
    </row>
    <row r="72" spans="1:26" x14ac:dyDescent="0.3">
      <c r="A72" s="2" t="s">
        <v>182</v>
      </c>
      <c r="B72" s="1">
        <v>2404</v>
      </c>
      <c r="C72" s="2" t="s">
        <v>11</v>
      </c>
      <c r="D72" s="1">
        <v>240402</v>
      </c>
      <c r="E72" s="2" t="s">
        <v>15</v>
      </c>
      <c r="F72" s="1">
        <v>2404020012</v>
      </c>
      <c r="G72" s="2" t="s">
        <v>37</v>
      </c>
      <c r="H72" s="1">
        <v>24040210803</v>
      </c>
      <c r="I72" s="2" t="s">
        <v>90</v>
      </c>
      <c r="J72" s="1">
        <v>3</v>
      </c>
      <c r="K72" s="2" t="s">
        <v>12</v>
      </c>
      <c r="L72" s="1">
        <v>2</v>
      </c>
      <c r="M72" s="2" t="s">
        <v>166</v>
      </c>
      <c r="N72" s="2" t="s">
        <v>13</v>
      </c>
      <c r="O72" s="1">
        <v>113</v>
      </c>
      <c r="P72" s="1">
        <v>112</v>
      </c>
      <c r="Q72" s="1">
        <v>1</v>
      </c>
      <c r="R72" s="1">
        <v>34</v>
      </c>
      <c r="S72" s="1">
        <v>45</v>
      </c>
      <c r="T72" s="1">
        <v>25</v>
      </c>
      <c r="U72" s="1">
        <v>8</v>
      </c>
      <c r="V72" s="2">
        <v>0.88495575221238898</v>
      </c>
      <c r="W72" s="2">
        <v>30.3571428571429</v>
      </c>
      <c r="X72" s="2">
        <v>62.5</v>
      </c>
      <c r="Y72" s="2">
        <v>7.1428571428571397</v>
      </c>
      <c r="Z72" s="2">
        <v>40.178571428571402</v>
      </c>
    </row>
    <row r="73" spans="1:26" x14ac:dyDescent="0.3">
      <c r="A73" s="2" t="s">
        <v>182</v>
      </c>
      <c r="B73" s="1">
        <v>2404</v>
      </c>
      <c r="C73" s="2" t="s">
        <v>11</v>
      </c>
      <c r="D73" s="1">
        <v>240402</v>
      </c>
      <c r="E73" s="2" t="s">
        <v>15</v>
      </c>
      <c r="F73" s="1">
        <v>2404020002</v>
      </c>
      <c r="G73" s="2" t="s">
        <v>64</v>
      </c>
      <c r="H73" s="1">
        <v>24040207801</v>
      </c>
      <c r="I73" s="2" t="s">
        <v>65</v>
      </c>
      <c r="J73" s="1">
        <v>3</v>
      </c>
      <c r="K73" s="2" t="s">
        <v>12</v>
      </c>
      <c r="L73" s="1">
        <v>2</v>
      </c>
      <c r="M73" s="2" t="s">
        <v>166</v>
      </c>
      <c r="N73" s="2" t="s">
        <v>13</v>
      </c>
      <c r="O73" s="1">
        <v>212</v>
      </c>
      <c r="P73" s="1">
        <v>211</v>
      </c>
      <c r="Q73" s="1">
        <v>1</v>
      </c>
      <c r="R73" s="1">
        <v>87</v>
      </c>
      <c r="S73" s="1">
        <v>51</v>
      </c>
      <c r="T73" s="1">
        <v>50</v>
      </c>
      <c r="U73" s="1">
        <v>23</v>
      </c>
      <c r="V73" s="2">
        <v>0.47169811320754701</v>
      </c>
      <c r="W73" s="2">
        <v>41.2322274881517</v>
      </c>
      <c r="X73" s="2">
        <v>47.867298578199097</v>
      </c>
      <c r="Y73" s="2">
        <v>10.9004739336493</v>
      </c>
      <c r="Z73" s="2">
        <v>24.170616113744099</v>
      </c>
    </row>
    <row r="74" spans="1:26" x14ac:dyDescent="0.3">
      <c r="A74" s="2" t="s">
        <v>182</v>
      </c>
      <c r="B74" s="1">
        <v>2404</v>
      </c>
      <c r="C74" s="2" t="s">
        <v>11</v>
      </c>
      <c r="D74" s="1">
        <v>240402</v>
      </c>
      <c r="E74" s="2" t="s">
        <v>15</v>
      </c>
      <c r="F74" s="1">
        <v>2404020002</v>
      </c>
      <c r="G74" s="2" t="s">
        <v>64</v>
      </c>
      <c r="H74" s="1">
        <v>24040208501</v>
      </c>
      <c r="I74" s="2" t="s">
        <v>70</v>
      </c>
      <c r="J74" s="1">
        <v>3</v>
      </c>
      <c r="K74" s="2" t="s">
        <v>12</v>
      </c>
      <c r="L74" s="1">
        <v>2</v>
      </c>
      <c r="M74" s="2" t="s">
        <v>166</v>
      </c>
      <c r="N74" s="2" t="s">
        <v>13</v>
      </c>
      <c r="O74" s="1">
        <v>182</v>
      </c>
      <c r="P74" s="1">
        <v>181</v>
      </c>
      <c r="Q74" s="1">
        <v>1</v>
      </c>
      <c r="R74" s="1">
        <v>62</v>
      </c>
      <c r="S74" s="1">
        <v>50</v>
      </c>
      <c r="T74" s="1">
        <v>52</v>
      </c>
      <c r="U74" s="1">
        <v>17</v>
      </c>
      <c r="V74" s="2">
        <v>0.54945054945054905</v>
      </c>
      <c r="W74" s="2">
        <v>34.254143646408799</v>
      </c>
      <c r="X74" s="2">
        <v>56.353591160221001</v>
      </c>
      <c r="Y74" s="2">
        <v>9.3922651933701697</v>
      </c>
      <c r="Z74" s="2">
        <v>27.6243093922652</v>
      </c>
    </row>
    <row r="75" spans="1:26" x14ac:dyDescent="0.3">
      <c r="A75" s="2" t="s">
        <v>182</v>
      </c>
      <c r="B75" s="1">
        <v>2404</v>
      </c>
      <c r="C75" s="2" t="s">
        <v>11</v>
      </c>
      <c r="D75" s="1">
        <v>240402</v>
      </c>
      <c r="E75" s="2" t="s">
        <v>15</v>
      </c>
      <c r="F75" s="1">
        <v>2404020003</v>
      </c>
      <c r="G75" s="2" t="s">
        <v>45</v>
      </c>
      <c r="H75" s="1">
        <v>24040207401</v>
      </c>
      <c r="I75" s="2" t="s">
        <v>62</v>
      </c>
      <c r="J75" s="1">
        <v>3</v>
      </c>
      <c r="K75" s="2" t="s">
        <v>12</v>
      </c>
      <c r="L75" s="1">
        <v>2</v>
      </c>
      <c r="M75" s="2" t="s">
        <v>166</v>
      </c>
      <c r="N75" s="2" t="s">
        <v>13</v>
      </c>
      <c r="O75" s="1">
        <v>142</v>
      </c>
      <c r="P75" s="1">
        <v>141</v>
      </c>
      <c r="Q75" s="1">
        <v>1</v>
      </c>
      <c r="R75" s="1">
        <v>57</v>
      </c>
      <c r="S75" s="1">
        <v>50</v>
      </c>
      <c r="T75" s="1">
        <v>27</v>
      </c>
      <c r="U75" s="1">
        <v>7</v>
      </c>
      <c r="V75" s="2">
        <v>0.70422535211267601</v>
      </c>
      <c r="W75" s="2">
        <v>40.425531914893597</v>
      </c>
      <c r="X75" s="2">
        <v>54.609929078014197</v>
      </c>
      <c r="Y75" s="2">
        <v>4.9645390070922</v>
      </c>
      <c r="Z75" s="2">
        <v>35.460992907801398</v>
      </c>
    </row>
    <row r="76" spans="1:26" x14ac:dyDescent="0.3">
      <c r="A76" s="2" t="s">
        <v>182</v>
      </c>
      <c r="B76" s="1">
        <v>2404</v>
      </c>
      <c r="C76" s="2" t="s">
        <v>11</v>
      </c>
      <c r="D76" s="1">
        <v>240402</v>
      </c>
      <c r="E76" s="2" t="s">
        <v>15</v>
      </c>
      <c r="F76" s="1">
        <v>2404020010</v>
      </c>
      <c r="G76" s="2" t="s">
        <v>20</v>
      </c>
      <c r="H76" s="1">
        <v>24040207001</v>
      </c>
      <c r="I76" s="2" t="s">
        <v>58</v>
      </c>
      <c r="J76" s="1">
        <v>3</v>
      </c>
      <c r="K76" s="2" t="s">
        <v>12</v>
      </c>
      <c r="L76" s="1">
        <v>2</v>
      </c>
      <c r="M76" s="2" t="s">
        <v>166</v>
      </c>
      <c r="N76" s="2" t="s">
        <v>13</v>
      </c>
      <c r="O76" s="1">
        <v>184</v>
      </c>
      <c r="P76" s="1">
        <v>183</v>
      </c>
      <c r="Q76" s="1">
        <v>1</v>
      </c>
      <c r="R76" s="1">
        <v>84</v>
      </c>
      <c r="S76" s="1">
        <v>50</v>
      </c>
      <c r="T76" s="1">
        <v>42</v>
      </c>
      <c r="U76" s="1">
        <v>7</v>
      </c>
      <c r="V76" s="2">
        <v>0.54347826086956497</v>
      </c>
      <c r="W76" s="2">
        <v>45.9016393442623</v>
      </c>
      <c r="X76" s="2">
        <v>50.2732240437158</v>
      </c>
      <c r="Y76" s="2">
        <v>3.8251366120218599</v>
      </c>
      <c r="Z76" s="2">
        <v>27.3224043715847</v>
      </c>
    </row>
    <row r="77" spans="1:26" x14ac:dyDescent="0.3">
      <c r="A77" s="2" t="s">
        <v>182</v>
      </c>
      <c r="B77" s="1">
        <v>2404</v>
      </c>
      <c r="C77" s="2" t="s">
        <v>11</v>
      </c>
      <c r="D77" s="1">
        <v>240402</v>
      </c>
      <c r="E77" s="2" t="s">
        <v>15</v>
      </c>
      <c r="F77" s="1">
        <v>2404020014</v>
      </c>
      <c r="G77" s="2" t="s">
        <v>28</v>
      </c>
      <c r="H77" s="1">
        <v>24040211501</v>
      </c>
      <c r="I77" s="2" t="s">
        <v>94</v>
      </c>
      <c r="J77" s="1">
        <v>3</v>
      </c>
      <c r="K77" s="2" t="s">
        <v>12</v>
      </c>
      <c r="L77" s="1">
        <v>2</v>
      </c>
      <c r="M77" s="2" t="s">
        <v>166</v>
      </c>
      <c r="N77" s="2" t="s">
        <v>13</v>
      </c>
      <c r="O77" s="1">
        <v>104</v>
      </c>
      <c r="P77" s="1">
        <v>103</v>
      </c>
      <c r="Q77" s="1">
        <v>1</v>
      </c>
      <c r="R77" s="1">
        <v>15</v>
      </c>
      <c r="S77" s="1">
        <v>16</v>
      </c>
      <c r="T77" s="1">
        <v>40</v>
      </c>
      <c r="U77" s="1">
        <v>32</v>
      </c>
      <c r="V77" s="2">
        <v>0.96153846153846201</v>
      </c>
      <c r="W77" s="2">
        <v>14.5631067961165</v>
      </c>
      <c r="X77" s="2">
        <v>54.368932038834899</v>
      </c>
      <c r="Y77" s="2">
        <v>31.067961165048501</v>
      </c>
      <c r="Z77" s="2">
        <v>15.5339805825243</v>
      </c>
    </row>
    <row r="78" spans="1:26" x14ac:dyDescent="0.3">
      <c r="A78" s="2" t="s">
        <v>182</v>
      </c>
      <c r="B78" s="1">
        <v>2404</v>
      </c>
      <c r="C78" s="2" t="s">
        <v>11</v>
      </c>
      <c r="D78" s="1">
        <v>240402</v>
      </c>
      <c r="E78" s="2" t="s">
        <v>15</v>
      </c>
      <c r="F78" s="1">
        <v>2404020011</v>
      </c>
      <c r="G78" s="2" t="s">
        <v>48</v>
      </c>
      <c r="H78" s="1">
        <v>24040206701</v>
      </c>
      <c r="I78" s="2" t="s">
        <v>55</v>
      </c>
      <c r="J78" s="1">
        <v>3</v>
      </c>
      <c r="K78" s="2" t="s">
        <v>12</v>
      </c>
      <c r="L78" s="1">
        <v>2</v>
      </c>
      <c r="M78" s="2" t="s">
        <v>166</v>
      </c>
      <c r="N78" s="2" t="s">
        <v>13</v>
      </c>
      <c r="O78" s="1">
        <v>282</v>
      </c>
      <c r="P78" s="1">
        <v>281</v>
      </c>
      <c r="Q78" s="1">
        <v>1</v>
      </c>
      <c r="R78" s="1">
        <v>71</v>
      </c>
      <c r="S78" s="1">
        <v>104</v>
      </c>
      <c r="T78" s="1">
        <v>89</v>
      </c>
      <c r="U78" s="1">
        <v>17</v>
      </c>
      <c r="V78" s="2">
        <v>0.35460992907801397</v>
      </c>
      <c r="W78" s="2">
        <v>25.266903914590699</v>
      </c>
      <c r="X78" s="2">
        <v>68.683274021352304</v>
      </c>
      <c r="Y78" s="2">
        <v>6.04982206405694</v>
      </c>
      <c r="Z78" s="2">
        <v>37.0106761565836</v>
      </c>
    </row>
    <row r="79" spans="1:26" x14ac:dyDescent="0.3">
      <c r="A79" s="2" t="s">
        <v>182</v>
      </c>
      <c r="B79" s="1">
        <v>2404</v>
      </c>
      <c r="C79" s="2" t="s">
        <v>11</v>
      </c>
      <c r="D79" s="1">
        <v>240402</v>
      </c>
      <c r="E79" s="2" t="s">
        <v>15</v>
      </c>
      <c r="F79" s="1">
        <v>2404020014</v>
      </c>
      <c r="G79" s="2" t="s">
        <v>28</v>
      </c>
      <c r="H79" s="1">
        <v>24040201701</v>
      </c>
      <c r="I79" s="2" t="s">
        <v>33</v>
      </c>
      <c r="J79" s="1">
        <v>3</v>
      </c>
      <c r="K79" s="2" t="s">
        <v>12</v>
      </c>
      <c r="L79" s="1">
        <v>2</v>
      </c>
      <c r="M79" s="2" t="s">
        <v>166</v>
      </c>
      <c r="N79" s="2" t="s">
        <v>13</v>
      </c>
      <c r="O79" s="1">
        <v>100</v>
      </c>
      <c r="P79" s="1">
        <v>99</v>
      </c>
      <c r="Q79" s="1">
        <v>1</v>
      </c>
      <c r="R79" s="1">
        <v>27</v>
      </c>
      <c r="S79" s="1">
        <v>26</v>
      </c>
      <c r="T79" s="1">
        <v>28</v>
      </c>
      <c r="U79" s="1">
        <v>18</v>
      </c>
      <c r="V79" s="2">
        <v>1</v>
      </c>
      <c r="W79" s="2">
        <v>27.272727272727298</v>
      </c>
      <c r="X79" s="2">
        <v>54.545454545454497</v>
      </c>
      <c r="Y79" s="2">
        <v>18.181818181818201</v>
      </c>
      <c r="Z79" s="2">
        <v>26.262626262626299</v>
      </c>
    </row>
    <row r="80" spans="1:26" x14ac:dyDescent="0.3">
      <c r="A80" s="2" t="s">
        <v>182</v>
      </c>
      <c r="B80" s="1">
        <v>2404</v>
      </c>
      <c r="C80" s="2" t="s">
        <v>11</v>
      </c>
      <c r="D80" s="1">
        <v>240402</v>
      </c>
      <c r="E80" s="2" t="s">
        <v>15</v>
      </c>
      <c r="F80" s="1">
        <v>2404020005</v>
      </c>
      <c r="G80" s="2" t="s">
        <v>83</v>
      </c>
      <c r="H80" s="1">
        <v>24040207601</v>
      </c>
      <c r="I80" s="2" t="s">
        <v>136</v>
      </c>
      <c r="J80" s="1">
        <v>3</v>
      </c>
      <c r="K80" s="2" t="s">
        <v>12</v>
      </c>
      <c r="L80" s="1">
        <v>2</v>
      </c>
      <c r="M80" s="2" t="s">
        <v>166</v>
      </c>
      <c r="N80" s="2" t="s">
        <v>113</v>
      </c>
      <c r="O80" s="1">
        <v>64</v>
      </c>
      <c r="P80" s="1">
        <v>63</v>
      </c>
      <c r="Q80" s="1">
        <v>1</v>
      </c>
      <c r="R80" s="1">
        <v>9</v>
      </c>
      <c r="S80" s="1">
        <v>30</v>
      </c>
      <c r="T80" s="1">
        <v>19</v>
      </c>
      <c r="U80" s="1">
        <v>5</v>
      </c>
      <c r="V80" s="2">
        <v>1.5625</v>
      </c>
      <c r="W80" s="2">
        <v>14.285714285714301</v>
      </c>
      <c r="X80" s="2">
        <v>77.7777777777778</v>
      </c>
      <c r="Y80" s="2">
        <v>7.9365079365079403</v>
      </c>
      <c r="Z80" s="2">
        <v>47.619047619047599</v>
      </c>
    </row>
    <row r="81" spans="1:26" x14ac:dyDescent="0.3">
      <c r="A81" s="2" t="s">
        <v>182</v>
      </c>
      <c r="B81" s="1">
        <v>2404</v>
      </c>
      <c r="C81" s="2" t="s">
        <v>11</v>
      </c>
      <c r="D81" s="1">
        <v>240402</v>
      </c>
      <c r="E81" s="2" t="s">
        <v>15</v>
      </c>
      <c r="F81" s="1">
        <v>2404020010</v>
      </c>
      <c r="G81" s="2" t="s">
        <v>20</v>
      </c>
      <c r="H81" s="1">
        <v>24040205601</v>
      </c>
      <c r="I81" s="2" t="s">
        <v>134</v>
      </c>
      <c r="J81" s="1">
        <v>3</v>
      </c>
      <c r="K81" s="2" t="s">
        <v>12</v>
      </c>
      <c r="L81" s="1">
        <v>2</v>
      </c>
      <c r="M81" s="2" t="s">
        <v>166</v>
      </c>
      <c r="N81" s="2" t="s">
        <v>113</v>
      </c>
      <c r="O81" s="1">
        <v>55</v>
      </c>
      <c r="P81" s="1">
        <v>54</v>
      </c>
      <c r="Q81" s="1">
        <v>1</v>
      </c>
      <c r="R81" s="1">
        <v>5</v>
      </c>
      <c r="S81" s="1">
        <v>13</v>
      </c>
      <c r="T81" s="1">
        <v>27</v>
      </c>
      <c r="U81" s="1">
        <v>9</v>
      </c>
      <c r="V81" s="2">
        <v>1.8181818181818199</v>
      </c>
      <c r="W81" s="2">
        <v>9.2592592592592595</v>
      </c>
      <c r="X81" s="2">
        <v>74.074074074074105</v>
      </c>
      <c r="Y81" s="2">
        <v>16.6666666666667</v>
      </c>
      <c r="Z81" s="2">
        <v>24.074074074074101</v>
      </c>
    </row>
    <row r="82" spans="1:26" x14ac:dyDescent="0.3">
      <c r="A82" s="2" t="s">
        <v>182</v>
      </c>
      <c r="B82" s="1">
        <v>2404</v>
      </c>
      <c r="C82" s="2" t="s">
        <v>11</v>
      </c>
      <c r="D82" s="1">
        <v>240402</v>
      </c>
      <c r="E82" s="2" t="s">
        <v>15</v>
      </c>
      <c r="F82" s="1">
        <v>2404020002</v>
      </c>
      <c r="G82" s="2" t="s">
        <v>64</v>
      </c>
      <c r="H82" s="1">
        <v>24040208801</v>
      </c>
      <c r="I82" s="2" t="s">
        <v>72</v>
      </c>
      <c r="J82" s="1">
        <v>3</v>
      </c>
      <c r="K82" s="2" t="s">
        <v>12</v>
      </c>
      <c r="L82" s="1">
        <v>2</v>
      </c>
      <c r="M82" s="2" t="s">
        <v>166</v>
      </c>
      <c r="N82" s="2" t="s">
        <v>13</v>
      </c>
      <c r="O82" s="1">
        <v>97</v>
      </c>
      <c r="P82" s="1">
        <v>94</v>
      </c>
      <c r="Q82" s="1">
        <v>3</v>
      </c>
      <c r="R82" s="1">
        <v>30</v>
      </c>
      <c r="S82" s="1">
        <v>31</v>
      </c>
      <c r="T82" s="1">
        <v>25</v>
      </c>
      <c r="U82" s="1">
        <v>8</v>
      </c>
      <c r="V82" s="2">
        <v>3.0927835051546402</v>
      </c>
      <c r="W82" s="2">
        <v>31.914893617021299</v>
      </c>
      <c r="X82" s="2">
        <v>59.574468085106403</v>
      </c>
      <c r="Y82" s="2">
        <v>8.5106382978723403</v>
      </c>
      <c r="Z82" s="2">
        <v>32.978723404255298</v>
      </c>
    </row>
    <row r="83" spans="1:26" x14ac:dyDescent="0.3">
      <c r="A83" s="2" t="s">
        <v>182</v>
      </c>
      <c r="B83" s="1">
        <v>2404</v>
      </c>
      <c r="C83" s="2" t="s">
        <v>11</v>
      </c>
      <c r="D83" s="1">
        <v>240402</v>
      </c>
      <c r="E83" s="2" t="s">
        <v>15</v>
      </c>
      <c r="F83" s="1">
        <v>2404020004</v>
      </c>
      <c r="G83" s="2" t="s">
        <v>30</v>
      </c>
      <c r="H83" s="1">
        <v>24040211201</v>
      </c>
      <c r="I83" s="2" t="s">
        <v>92</v>
      </c>
      <c r="J83" s="1">
        <v>3</v>
      </c>
      <c r="K83" s="2" t="s">
        <v>12</v>
      </c>
      <c r="L83" s="1">
        <v>2</v>
      </c>
      <c r="M83" s="2" t="s">
        <v>166</v>
      </c>
      <c r="N83" s="2" t="s">
        <v>13</v>
      </c>
      <c r="O83" s="1">
        <v>185</v>
      </c>
      <c r="P83" s="1">
        <v>182</v>
      </c>
      <c r="Q83" s="1">
        <v>3</v>
      </c>
      <c r="R83" s="1">
        <v>70</v>
      </c>
      <c r="S83" s="1">
        <v>47</v>
      </c>
      <c r="T83" s="1">
        <v>44</v>
      </c>
      <c r="U83" s="1">
        <v>21</v>
      </c>
      <c r="V83" s="2">
        <v>1.6216216216216199</v>
      </c>
      <c r="W83" s="2">
        <v>38.461538461538503</v>
      </c>
      <c r="X83" s="2">
        <v>50</v>
      </c>
      <c r="Y83" s="2">
        <v>11.538461538461499</v>
      </c>
      <c r="Z83" s="2">
        <v>25.8241758241758</v>
      </c>
    </row>
    <row r="84" spans="1:26" x14ac:dyDescent="0.3">
      <c r="A84" s="2" t="s">
        <v>182</v>
      </c>
      <c r="B84" s="1">
        <v>2404</v>
      </c>
      <c r="C84" s="2" t="s">
        <v>11</v>
      </c>
      <c r="D84" s="1">
        <v>240402</v>
      </c>
      <c r="E84" s="2" t="s">
        <v>15</v>
      </c>
      <c r="F84" s="1">
        <v>2404020006</v>
      </c>
      <c r="G84" s="2" t="s">
        <v>56</v>
      </c>
      <c r="H84" s="1">
        <v>24040210401</v>
      </c>
      <c r="I84" s="2" t="s">
        <v>86</v>
      </c>
      <c r="J84" s="1">
        <v>3</v>
      </c>
      <c r="K84" s="2" t="s">
        <v>12</v>
      </c>
      <c r="L84" s="1">
        <v>2</v>
      </c>
      <c r="M84" s="2" t="s">
        <v>166</v>
      </c>
      <c r="N84" s="2" t="s">
        <v>13</v>
      </c>
      <c r="O84" s="1">
        <v>96</v>
      </c>
      <c r="P84" s="1">
        <v>93</v>
      </c>
      <c r="Q84" s="1">
        <v>3</v>
      </c>
      <c r="R84" s="1">
        <v>33</v>
      </c>
      <c r="S84" s="1">
        <v>26</v>
      </c>
      <c r="T84" s="1">
        <v>26</v>
      </c>
      <c r="U84" s="1">
        <v>8</v>
      </c>
      <c r="V84" s="2">
        <v>3.125</v>
      </c>
      <c r="W84" s="2">
        <v>35.4838709677419</v>
      </c>
      <c r="X84" s="2">
        <v>55.913978494623599</v>
      </c>
      <c r="Y84" s="2">
        <v>8.6021505376344098</v>
      </c>
      <c r="Z84" s="2">
        <v>27.9569892473118</v>
      </c>
    </row>
    <row r="85" spans="1:26" x14ac:dyDescent="0.3">
      <c r="A85" s="2" t="s">
        <v>182</v>
      </c>
      <c r="B85" s="1">
        <v>2404</v>
      </c>
      <c r="C85" s="2" t="s">
        <v>11</v>
      </c>
      <c r="D85" s="1">
        <v>240402</v>
      </c>
      <c r="E85" s="2" t="s">
        <v>15</v>
      </c>
      <c r="F85" s="1">
        <v>2404020006</v>
      </c>
      <c r="G85" s="2" t="s">
        <v>56</v>
      </c>
      <c r="H85" s="1">
        <v>24040213501</v>
      </c>
      <c r="I85" s="2" t="s">
        <v>106</v>
      </c>
      <c r="J85" s="1">
        <v>3</v>
      </c>
      <c r="K85" s="2" t="s">
        <v>12</v>
      </c>
      <c r="L85" s="1">
        <v>2</v>
      </c>
      <c r="M85" s="2" t="s">
        <v>166</v>
      </c>
      <c r="N85" s="2" t="s">
        <v>13</v>
      </c>
      <c r="O85" s="1">
        <v>198</v>
      </c>
      <c r="P85" s="1">
        <v>195</v>
      </c>
      <c r="Q85" s="1">
        <v>3</v>
      </c>
      <c r="R85" s="1">
        <v>81</v>
      </c>
      <c r="S85" s="1">
        <v>55</v>
      </c>
      <c r="T85" s="1">
        <v>38</v>
      </c>
      <c r="U85" s="1">
        <v>21</v>
      </c>
      <c r="V85" s="2">
        <v>1.51515151515152</v>
      </c>
      <c r="W85" s="2">
        <v>41.538461538461497</v>
      </c>
      <c r="X85" s="2">
        <v>47.692307692307701</v>
      </c>
      <c r="Y85" s="2">
        <v>10.7692307692308</v>
      </c>
      <c r="Z85" s="2">
        <v>28.205128205128201</v>
      </c>
    </row>
    <row r="86" spans="1:26" x14ac:dyDescent="0.3">
      <c r="A86" s="2" t="s">
        <v>182</v>
      </c>
      <c r="B86" s="1">
        <v>2404</v>
      </c>
      <c r="C86" s="2" t="s">
        <v>11</v>
      </c>
      <c r="D86" s="1">
        <v>240402</v>
      </c>
      <c r="E86" s="2" t="s">
        <v>15</v>
      </c>
      <c r="F86" s="1">
        <v>2404020004</v>
      </c>
      <c r="G86" s="2" t="s">
        <v>30</v>
      </c>
      <c r="H86" s="1">
        <v>24040208301</v>
      </c>
      <c r="I86" s="2" t="s">
        <v>68</v>
      </c>
      <c r="J86" s="1">
        <v>3</v>
      </c>
      <c r="K86" s="2" t="s">
        <v>12</v>
      </c>
      <c r="L86" s="1">
        <v>2</v>
      </c>
      <c r="M86" s="2" t="s">
        <v>166</v>
      </c>
      <c r="N86" s="2" t="s">
        <v>13</v>
      </c>
      <c r="O86" s="1">
        <v>139</v>
      </c>
      <c r="P86" s="1">
        <v>136</v>
      </c>
      <c r="Q86" s="1">
        <v>3</v>
      </c>
      <c r="R86" s="1">
        <v>57</v>
      </c>
      <c r="S86" s="1">
        <v>28</v>
      </c>
      <c r="T86" s="1">
        <v>36</v>
      </c>
      <c r="U86" s="1">
        <v>15</v>
      </c>
      <c r="V86" s="2">
        <v>2.1582733812949599</v>
      </c>
      <c r="W86" s="2">
        <v>41.911764705882398</v>
      </c>
      <c r="X86" s="2">
        <v>47.058823529411796</v>
      </c>
      <c r="Y86" s="2">
        <v>11.0294117647059</v>
      </c>
      <c r="Z86" s="2">
        <v>20.588235294117599</v>
      </c>
    </row>
    <row r="87" spans="1:26" x14ac:dyDescent="0.3">
      <c r="A87" s="2" t="s">
        <v>182</v>
      </c>
      <c r="B87" s="1">
        <v>2404</v>
      </c>
      <c r="C87" s="2" t="s">
        <v>11</v>
      </c>
      <c r="D87" s="1">
        <v>240402</v>
      </c>
      <c r="E87" s="2" t="s">
        <v>15</v>
      </c>
      <c r="F87" s="1">
        <v>2404020007</v>
      </c>
      <c r="G87" s="2" t="s">
        <v>16</v>
      </c>
      <c r="H87" s="1">
        <v>24040202001</v>
      </c>
      <c r="I87" s="2" t="s">
        <v>36</v>
      </c>
      <c r="J87" s="1">
        <v>3</v>
      </c>
      <c r="K87" s="2" t="s">
        <v>12</v>
      </c>
      <c r="L87" s="1">
        <v>2</v>
      </c>
      <c r="M87" s="2" t="s">
        <v>166</v>
      </c>
      <c r="N87" s="2" t="s">
        <v>13</v>
      </c>
      <c r="O87" s="1">
        <v>366</v>
      </c>
      <c r="P87" s="1">
        <v>363</v>
      </c>
      <c r="Q87" s="1">
        <v>3</v>
      </c>
      <c r="R87" s="1">
        <v>129</v>
      </c>
      <c r="S87" s="1">
        <v>121</v>
      </c>
      <c r="T87" s="1">
        <v>73</v>
      </c>
      <c r="U87" s="1">
        <v>40</v>
      </c>
      <c r="V87" s="2">
        <v>0.81967213114754101</v>
      </c>
      <c r="W87" s="2">
        <v>35.537190082644599</v>
      </c>
      <c r="X87" s="2">
        <v>53.443526170798897</v>
      </c>
      <c r="Y87" s="2">
        <v>11.0192837465565</v>
      </c>
      <c r="Z87" s="2">
        <v>33.3333333333333</v>
      </c>
    </row>
    <row r="88" spans="1:26" x14ac:dyDescent="0.3">
      <c r="A88" s="2" t="s">
        <v>182</v>
      </c>
      <c r="B88" s="1">
        <v>2404</v>
      </c>
      <c r="C88" s="2" t="s">
        <v>11</v>
      </c>
      <c r="D88" s="1">
        <v>240402</v>
      </c>
      <c r="E88" s="2" t="s">
        <v>15</v>
      </c>
      <c r="F88" s="1">
        <v>2404020012</v>
      </c>
      <c r="G88" s="2" t="s">
        <v>37</v>
      </c>
      <c r="H88" s="1">
        <v>24040202401</v>
      </c>
      <c r="I88" s="2" t="s">
        <v>38</v>
      </c>
      <c r="J88" s="1">
        <v>3</v>
      </c>
      <c r="K88" s="2" t="s">
        <v>12</v>
      </c>
      <c r="L88" s="1">
        <v>2</v>
      </c>
      <c r="M88" s="2" t="s">
        <v>166</v>
      </c>
      <c r="N88" s="2" t="s">
        <v>13</v>
      </c>
      <c r="O88" s="1">
        <v>265</v>
      </c>
      <c r="P88" s="1">
        <v>262</v>
      </c>
      <c r="Q88" s="1">
        <v>3</v>
      </c>
      <c r="R88" s="1">
        <v>80</v>
      </c>
      <c r="S88" s="1">
        <v>82</v>
      </c>
      <c r="T88" s="1">
        <v>58</v>
      </c>
      <c r="U88" s="1">
        <v>42</v>
      </c>
      <c r="V88" s="2">
        <v>1.1320754716981101</v>
      </c>
      <c r="W88" s="2">
        <v>30.534351145038201</v>
      </c>
      <c r="X88" s="2">
        <v>53.435114503816799</v>
      </c>
      <c r="Y88" s="2">
        <v>16.030534351145</v>
      </c>
      <c r="Z88" s="2">
        <v>31.297709923664101</v>
      </c>
    </row>
    <row r="89" spans="1:26" x14ac:dyDescent="0.3">
      <c r="A89" s="2" t="s">
        <v>182</v>
      </c>
      <c r="B89" s="1">
        <v>2404</v>
      </c>
      <c r="C89" s="2" t="s">
        <v>11</v>
      </c>
      <c r="D89" s="1">
        <v>240402</v>
      </c>
      <c r="E89" s="2" t="s">
        <v>15</v>
      </c>
      <c r="F89" s="1">
        <v>2404020012</v>
      </c>
      <c r="G89" s="2" t="s">
        <v>37</v>
      </c>
      <c r="H89" s="1">
        <v>24040212601</v>
      </c>
      <c r="I89" s="2" t="s">
        <v>99</v>
      </c>
      <c r="J89" s="1">
        <v>3</v>
      </c>
      <c r="K89" s="2" t="s">
        <v>12</v>
      </c>
      <c r="L89" s="1">
        <v>2</v>
      </c>
      <c r="M89" s="2" t="s">
        <v>166</v>
      </c>
      <c r="N89" s="2" t="s">
        <v>13</v>
      </c>
      <c r="O89" s="1">
        <v>297</v>
      </c>
      <c r="P89" s="1">
        <v>294</v>
      </c>
      <c r="Q89" s="1">
        <v>3</v>
      </c>
      <c r="R89" s="1">
        <v>93</v>
      </c>
      <c r="S89" s="1">
        <v>69</v>
      </c>
      <c r="T89" s="1">
        <v>70</v>
      </c>
      <c r="U89" s="1">
        <v>62</v>
      </c>
      <c r="V89" s="2">
        <v>1.0101010101010099</v>
      </c>
      <c r="W89" s="2">
        <v>31.632653061224499</v>
      </c>
      <c r="X89" s="2">
        <v>47.278911564625901</v>
      </c>
      <c r="Y89" s="2">
        <v>21.0884353741497</v>
      </c>
      <c r="Z89" s="2">
        <v>23.469387755102002</v>
      </c>
    </row>
    <row r="90" spans="1:26" x14ac:dyDescent="0.3">
      <c r="A90" s="2" t="s">
        <v>182</v>
      </c>
      <c r="B90" s="1">
        <v>2404</v>
      </c>
      <c r="C90" s="2" t="s">
        <v>11</v>
      </c>
      <c r="D90" s="1">
        <v>240402</v>
      </c>
      <c r="E90" s="2" t="s">
        <v>15</v>
      </c>
      <c r="F90" s="1">
        <v>2404020013</v>
      </c>
      <c r="G90" s="2" t="s">
        <v>23</v>
      </c>
      <c r="H90" s="1">
        <v>24040200801</v>
      </c>
      <c r="I90" s="2" t="s">
        <v>24</v>
      </c>
      <c r="J90" s="1">
        <v>3</v>
      </c>
      <c r="K90" s="2" t="s">
        <v>12</v>
      </c>
      <c r="L90" s="1">
        <v>2</v>
      </c>
      <c r="M90" s="2" t="s">
        <v>166</v>
      </c>
      <c r="N90" s="2" t="s">
        <v>13</v>
      </c>
      <c r="O90" s="1">
        <v>171</v>
      </c>
      <c r="P90" s="1">
        <v>168</v>
      </c>
      <c r="Q90" s="1">
        <v>3</v>
      </c>
      <c r="R90" s="1">
        <v>85</v>
      </c>
      <c r="S90" s="1">
        <v>36</v>
      </c>
      <c r="T90" s="1">
        <v>35</v>
      </c>
      <c r="U90" s="1">
        <v>12</v>
      </c>
      <c r="V90" s="2">
        <v>1.7543859649122799</v>
      </c>
      <c r="W90" s="2">
        <v>50.595238095238102</v>
      </c>
      <c r="X90" s="2">
        <v>42.261904761904802</v>
      </c>
      <c r="Y90" s="2">
        <v>7.1428571428571397</v>
      </c>
      <c r="Z90" s="2">
        <v>21.428571428571399</v>
      </c>
    </row>
    <row r="91" spans="1:26" x14ac:dyDescent="0.3">
      <c r="A91" s="2" t="s">
        <v>182</v>
      </c>
      <c r="B91" s="1">
        <v>2404</v>
      </c>
      <c r="C91" s="2" t="s">
        <v>11</v>
      </c>
      <c r="D91" s="1">
        <v>240402</v>
      </c>
      <c r="E91" s="2" t="s">
        <v>15</v>
      </c>
      <c r="F91" s="1">
        <v>2404020014</v>
      </c>
      <c r="G91" s="2" t="s">
        <v>28</v>
      </c>
      <c r="H91" s="1">
        <v>24040202601</v>
      </c>
      <c r="I91" s="2" t="s">
        <v>40</v>
      </c>
      <c r="J91" s="1">
        <v>3</v>
      </c>
      <c r="K91" s="2" t="s">
        <v>12</v>
      </c>
      <c r="L91" s="1">
        <v>2</v>
      </c>
      <c r="M91" s="2" t="s">
        <v>166</v>
      </c>
      <c r="N91" s="2" t="s">
        <v>13</v>
      </c>
      <c r="O91" s="1">
        <v>146</v>
      </c>
      <c r="P91" s="1">
        <v>143</v>
      </c>
      <c r="Q91" s="1">
        <v>3</v>
      </c>
      <c r="R91" s="1">
        <v>26</v>
      </c>
      <c r="S91" s="1">
        <v>49</v>
      </c>
      <c r="T91" s="1">
        <v>50</v>
      </c>
      <c r="U91" s="1">
        <v>18</v>
      </c>
      <c r="V91" s="2">
        <v>2.0547945205479401</v>
      </c>
      <c r="W91" s="2">
        <v>18.181818181818201</v>
      </c>
      <c r="X91" s="2">
        <v>69.230769230769198</v>
      </c>
      <c r="Y91" s="2">
        <v>12.587412587412601</v>
      </c>
      <c r="Z91" s="2">
        <v>34.265734265734302</v>
      </c>
    </row>
    <row r="92" spans="1:26" x14ac:dyDescent="0.3">
      <c r="A92" s="2" t="s">
        <v>182</v>
      </c>
      <c r="B92" s="1">
        <v>2404</v>
      </c>
      <c r="C92" s="2" t="s">
        <v>11</v>
      </c>
      <c r="D92" s="1">
        <v>240402</v>
      </c>
      <c r="E92" s="2" t="s">
        <v>15</v>
      </c>
      <c r="F92" s="1">
        <v>2404020001</v>
      </c>
      <c r="G92" s="2" t="s">
        <v>26</v>
      </c>
      <c r="H92" s="1">
        <v>24040204601</v>
      </c>
      <c r="I92" s="2" t="s">
        <v>50</v>
      </c>
      <c r="J92" s="1">
        <v>3</v>
      </c>
      <c r="K92" s="2" t="s">
        <v>12</v>
      </c>
      <c r="L92" s="1">
        <v>2</v>
      </c>
      <c r="M92" s="2" t="s">
        <v>166</v>
      </c>
      <c r="N92" s="2" t="s">
        <v>13</v>
      </c>
      <c r="O92" s="1">
        <v>328</v>
      </c>
      <c r="P92" s="1">
        <v>309</v>
      </c>
      <c r="Q92" s="1">
        <v>19</v>
      </c>
      <c r="R92" s="1">
        <v>142</v>
      </c>
      <c r="S92" s="1">
        <v>82</v>
      </c>
      <c r="T92" s="1">
        <v>52</v>
      </c>
      <c r="U92" s="1">
        <v>33</v>
      </c>
      <c r="V92" s="2">
        <v>5.7926829268292703</v>
      </c>
      <c r="W92" s="2">
        <v>45.954692556634299</v>
      </c>
      <c r="X92" s="2">
        <v>43.365695792880302</v>
      </c>
      <c r="Y92" s="2">
        <v>10.6796116504854</v>
      </c>
      <c r="Z92" s="2">
        <v>26.537216828479</v>
      </c>
    </row>
    <row r="93" spans="1:26" x14ac:dyDescent="0.3">
      <c r="A93" s="2" t="s">
        <v>182</v>
      </c>
      <c r="B93" s="1">
        <v>2404</v>
      </c>
      <c r="C93" s="2" t="s">
        <v>11</v>
      </c>
      <c r="D93" s="1">
        <v>240402</v>
      </c>
      <c r="E93" s="2" t="s">
        <v>15</v>
      </c>
      <c r="F93" s="1">
        <v>2404020001</v>
      </c>
      <c r="G93" s="2" t="s">
        <v>26</v>
      </c>
      <c r="H93" s="1">
        <v>24040213001</v>
      </c>
      <c r="I93" s="2" t="s">
        <v>102</v>
      </c>
      <c r="J93" s="1">
        <v>3</v>
      </c>
      <c r="K93" s="2" t="s">
        <v>12</v>
      </c>
      <c r="L93" s="1">
        <v>2</v>
      </c>
      <c r="M93" s="2" t="s">
        <v>166</v>
      </c>
      <c r="N93" s="2" t="s">
        <v>13</v>
      </c>
      <c r="O93" s="1">
        <v>328</v>
      </c>
      <c r="P93" s="1">
        <v>323</v>
      </c>
      <c r="Q93" s="1">
        <v>5</v>
      </c>
      <c r="R93" s="1">
        <v>50</v>
      </c>
      <c r="S93" s="1">
        <v>66</v>
      </c>
      <c r="T93" s="1">
        <v>151</v>
      </c>
      <c r="U93" s="1">
        <v>56</v>
      </c>
      <c r="V93" s="2">
        <v>1.5243902439024399</v>
      </c>
      <c r="W93" s="2">
        <v>15.479876160990701</v>
      </c>
      <c r="X93" s="2">
        <v>67.182662538699702</v>
      </c>
      <c r="Y93" s="2">
        <v>17.337461300309599</v>
      </c>
      <c r="Z93" s="2">
        <v>20.433436532507699</v>
      </c>
    </row>
    <row r="94" spans="1:26" x14ac:dyDescent="0.3">
      <c r="A94" s="2" t="s">
        <v>182</v>
      </c>
      <c r="B94" s="1">
        <v>2404</v>
      </c>
      <c r="C94" s="2" t="s">
        <v>11</v>
      </c>
      <c r="D94" s="1">
        <v>240402</v>
      </c>
      <c r="E94" s="2" t="s">
        <v>15</v>
      </c>
      <c r="F94" s="1">
        <v>2404020004</v>
      </c>
      <c r="G94" s="2" t="s">
        <v>30</v>
      </c>
      <c r="H94" s="1">
        <v>24040203201</v>
      </c>
      <c r="I94" s="2" t="s">
        <v>43</v>
      </c>
      <c r="J94" s="1">
        <v>3</v>
      </c>
      <c r="K94" s="2" t="s">
        <v>12</v>
      </c>
      <c r="L94" s="1">
        <v>2</v>
      </c>
      <c r="M94" s="2" t="s">
        <v>166</v>
      </c>
      <c r="N94" s="2" t="s">
        <v>13</v>
      </c>
      <c r="O94" s="1">
        <v>145</v>
      </c>
      <c r="P94" s="1">
        <v>143</v>
      </c>
      <c r="Q94" s="1">
        <v>2</v>
      </c>
      <c r="R94" s="1">
        <v>47</v>
      </c>
      <c r="S94" s="1">
        <v>39</v>
      </c>
      <c r="T94" s="1">
        <v>42</v>
      </c>
      <c r="U94" s="1">
        <v>15</v>
      </c>
      <c r="V94" s="2">
        <v>1.3793103448275901</v>
      </c>
      <c r="W94" s="2">
        <v>32.867132867132902</v>
      </c>
      <c r="X94" s="2">
        <v>56.643356643356597</v>
      </c>
      <c r="Y94" s="2">
        <v>10.489510489510501</v>
      </c>
      <c r="Z94" s="2">
        <v>27.272727272727298</v>
      </c>
    </row>
    <row r="95" spans="1:26" x14ac:dyDescent="0.3">
      <c r="A95" s="2" t="s">
        <v>182</v>
      </c>
      <c r="B95" s="1">
        <v>2404</v>
      </c>
      <c r="C95" s="2" t="s">
        <v>11</v>
      </c>
      <c r="D95" s="1">
        <v>240402</v>
      </c>
      <c r="E95" s="2" t="s">
        <v>15</v>
      </c>
      <c r="F95" s="1">
        <v>2404020001</v>
      </c>
      <c r="G95" s="2" t="s">
        <v>26</v>
      </c>
      <c r="H95" s="1">
        <v>24040207201</v>
      </c>
      <c r="I95" s="2" t="s">
        <v>60</v>
      </c>
      <c r="J95" s="1">
        <v>3</v>
      </c>
      <c r="K95" s="2" t="s">
        <v>12</v>
      </c>
      <c r="L95" s="1">
        <v>2</v>
      </c>
      <c r="M95" s="2" t="s">
        <v>166</v>
      </c>
      <c r="N95" s="2" t="s">
        <v>13</v>
      </c>
      <c r="O95" s="1">
        <v>188</v>
      </c>
      <c r="P95" s="1">
        <v>186</v>
      </c>
      <c r="Q95" s="1">
        <v>2</v>
      </c>
      <c r="R95" s="1">
        <v>77</v>
      </c>
      <c r="S95" s="1">
        <v>61</v>
      </c>
      <c r="T95" s="1">
        <v>38</v>
      </c>
      <c r="U95" s="1">
        <v>10</v>
      </c>
      <c r="V95" s="2">
        <v>1.0638297872340401</v>
      </c>
      <c r="W95" s="2">
        <v>41.397849462365599</v>
      </c>
      <c r="X95" s="2">
        <v>53.225806451612897</v>
      </c>
      <c r="Y95" s="2">
        <v>5.3763440860215104</v>
      </c>
      <c r="Z95" s="2">
        <v>32.795698924731198</v>
      </c>
    </row>
    <row r="96" spans="1:26" x14ac:dyDescent="0.3">
      <c r="A96" s="2" t="s">
        <v>182</v>
      </c>
      <c r="B96" s="1">
        <v>2404</v>
      </c>
      <c r="C96" s="2" t="s">
        <v>11</v>
      </c>
      <c r="D96" s="1">
        <v>240402</v>
      </c>
      <c r="E96" s="2" t="s">
        <v>15</v>
      </c>
      <c r="F96" s="1">
        <v>2404020003</v>
      </c>
      <c r="G96" s="2" t="s">
        <v>45</v>
      </c>
      <c r="H96" s="1">
        <v>24040206401</v>
      </c>
      <c r="I96" s="2" t="s">
        <v>158</v>
      </c>
      <c r="J96" s="1">
        <v>3</v>
      </c>
      <c r="K96" s="2" t="s">
        <v>12</v>
      </c>
      <c r="L96" s="1">
        <v>2</v>
      </c>
      <c r="M96" s="2" t="s">
        <v>166</v>
      </c>
      <c r="N96" s="2" t="s">
        <v>13</v>
      </c>
      <c r="O96" s="1">
        <v>228</v>
      </c>
      <c r="P96" s="1">
        <v>218</v>
      </c>
      <c r="Q96" s="1">
        <v>10</v>
      </c>
      <c r="R96" s="1">
        <v>57</v>
      </c>
      <c r="S96" s="1">
        <v>60</v>
      </c>
      <c r="T96" s="1">
        <v>69</v>
      </c>
      <c r="U96" s="1">
        <v>32</v>
      </c>
      <c r="V96" s="2">
        <v>4.3859649122807003</v>
      </c>
      <c r="W96" s="2">
        <v>26.146788990825701</v>
      </c>
      <c r="X96" s="2">
        <v>59.174311926605498</v>
      </c>
      <c r="Y96" s="2">
        <v>14.678899082568799</v>
      </c>
      <c r="Z96" s="2">
        <v>27.5229357798165</v>
      </c>
    </row>
    <row r="97" spans="1:26" x14ac:dyDescent="0.3">
      <c r="A97" s="2" t="s">
        <v>182</v>
      </c>
      <c r="B97" s="1">
        <v>2404</v>
      </c>
      <c r="C97" s="2" t="s">
        <v>11</v>
      </c>
      <c r="D97" s="1">
        <v>240402</v>
      </c>
      <c r="E97" s="2" t="s">
        <v>15</v>
      </c>
      <c r="F97" s="1">
        <v>2404020003</v>
      </c>
      <c r="G97" s="2" t="s">
        <v>45</v>
      </c>
      <c r="H97" s="1">
        <v>24040213701</v>
      </c>
      <c r="I97" s="2" t="s">
        <v>108</v>
      </c>
      <c r="J97" s="1">
        <v>3</v>
      </c>
      <c r="K97" s="2" t="s">
        <v>12</v>
      </c>
      <c r="L97" s="1">
        <v>2</v>
      </c>
      <c r="M97" s="2" t="s">
        <v>166</v>
      </c>
      <c r="N97" s="2" t="s">
        <v>13</v>
      </c>
      <c r="O97" s="1">
        <v>261</v>
      </c>
      <c r="P97" s="1">
        <v>257</v>
      </c>
      <c r="Q97" s="1">
        <v>4</v>
      </c>
      <c r="R97" s="1">
        <v>72</v>
      </c>
      <c r="S97" s="1">
        <v>77</v>
      </c>
      <c r="T97" s="1">
        <v>73</v>
      </c>
      <c r="U97" s="1">
        <v>35</v>
      </c>
      <c r="V97" s="2">
        <v>1.5325670498084301</v>
      </c>
      <c r="W97" s="2">
        <v>28.015564202334598</v>
      </c>
      <c r="X97" s="2">
        <v>58.365758754863798</v>
      </c>
      <c r="Y97" s="2">
        <v>13.6186770428016</v>
      </c>
      <c r="Z97" s="2">
        <v>29.961089494163399</v>
      </c>
    </row>
    <row r="98" spans="1:26" x14ac:dyDescent="0.3">
      <c r="A98" s="2" t="s">
        <v>182</v>
      </c>
      <c r="B98" s="1">
        <v>2404</v>
      </c>
      <c r="C98" s="2" t="s">
        <v>11</v>
      </c>
      <c r="D98" s="1">
        <v>240402</v>
      </c>
      <c r="E98" s="2" t="s">
        <v>15</v>
      </c>
      <c r="F98" s="1">
        <v>2404020005</v>
      </c>
      <c r="G98" s="2" t="s">
        <v>83</v>
      </c>
      <c r="H98" s="1">
        <v>24040206501</v>
      </c>
      <c r="I98" s="2" t="s">
        <v>159</v>
      </c>
      <c r="J98" s="1">
        <v>3</v>
      </c>
      <c r="K98" s="2" t="s">
        <v>12</v>
      </c>
      <c r="L98" s="1">
        <v>2</v>
      </c>
      <c r="M98" s="2" t="s">
        <v>166</v>
      </c>
      <c r="N98" s="2" t="s">
        <v>13</v>
      </c>
      <c r="O98" s="1">
        <v>210</v>
      </c>
      <c r="P98" s="1">
        <v>195</v>
      </c>
      <c r="Q98" s="1">
        <v>15</v>
      </c>
      <c r="R98" s="1">
        <v>67</v>
      </c>
      <c r="S98" s="1">
        <v>46</v>
      </c>
      <c r="T98" s="1">
        <v>37</v>
      </c>
      <c r="U98" s="1">
        <v>45</v>
      </c>
      <c r="V98" s="2">
        <v>7.1428571428571397</v>
      </c>
      <c r="W98" s="2">
        <v>34.3589743589744</v>
      </c>
      <c r="X98" s="2">
        <v>42.564102564102598</v>
      </c>
      <c r="Y98" s="2">
        <v>23.076923076923102</v>
      </c>
      <c r="Z98" s="2">
        <v>23.589743589743598</v>
      </c>
    </row>
    <row r="99" spans="1:26" x14ac:dyDescent="0.3">
      <c r="A99" s="2" t="s">
        <v>182</v>
      </c>
      <c r="B99" s="1">
        <v>2404</v>
      </c>
      <c r="C99" s="2" t="s">
        <v>11</v>
      </c>
      <c r="D99" s="1">
        <v>240402</v>
      </c>
      <c r="E99" s="2" t="s">
        <v>15</v>
      </c>
      <c r="F99" s="1">
        <v>2404020002</v>
      </c>
      <c r="G99" s="2" t="s">
        <v>64</v>
      </c>
      <c r="H99" s="1">
        <v>24040208001</v>
      </c>
      <c r="I99" s="2" t="s">
        <v>67</v>
      </c>
      <c r="J99" s="1">
        <v>3</v>
      </c>
      <c r="K99" s="2" t="s">
        <v>12</v>
      </c>
      <c r="L99" s="1">
        <v>2</v>
      </c>
      <c r="M99" s="2" t="s">
        <v>166</v>
      </c>
      <c r="N99" s="2" t="s">
        <v>13</v>
      </c>
      <c r="O99" s="1">
        <v>111</v>
      </c>
      <c r="P99" s="1">
        <v>105</v>
      </c>
      <c r="Q99" s="1">
        <v>6</v>
      </c>
      <c r="R99" s="1">
        <v>26</v>
      </c>
      <c r="S99" s="1">
        <v>37</v>
      </c>
      <c r="T99" s="1">
        <v>31</v>
      </c>
      <c r="U99" s="1">
        <v>11</v>
      </c>
      <c r="V99" s="2">
        <v>5.4054054054054097</v>
      </c>
      <c r="W99" s="2">
        <v>24.761904761904798</v>
      </c>
      <c r="X99" s="2">
        <v>64.761904761904802</v>
      </c>
      <c r="Y99" s="2">
        <v>10.476190476190499</v>
      </c>
      <c r="Z99" s="2">
        <v>35.238095238095198</v>
      </c>
    </row>
    <row r="100" spans="1:26" x14ac:dyDescent="0.3">
      <c r="A100" s="2" t="s">
        <v>182</v>
      </c>
      <c r="B100" s="1">
        <v>2404</v>
      </c>
      <c r="C100" s="2" t="s">
        <v>11</v>
      </c>
      <c r="D100" s="1">
        <v>240402</v>
      </c>
      <c r="E100" s="2" t="s">
        <v>15</v>
      </c>
      <c r="F100" s="1">
        <v>2404020003</v>
      </c>
      <c r="G100" s="2" t="s">
        <v>45</v>
      </c>
      <c r="H100" s="1">
        <v>24040209901</v>
      </c>
      <c r="I100" s="2" t="s">
        <v>81</v>
      </c>
      <c r="J100" s="1">
        <v>3</v>
      </c>
      <c r="K100" s="2" t="s">
        <v>12</v>
      </c>
      <c r="L100" s="1">
        <v>2</v>
      </c>
      <c r="M100" s="2" t="s">
        <v>166</v>
      </c>
      <c r="N100" s="2" t="s">
        <v>13</v>
      </c>
      <c r="O100" s="1">
        <v>246</v>
      </c>
      <c r="P100" s="1">
        <v>241</v>
      </c>
      <c r="Q100" s="1">
        <v>5</v>
      </c>
      <c r="R100" s="1">
        <v>73</v>
      </c>
      <c r="S100" s="1">
        <v>78</v>
      </c>
      <c r="T100" s="1">
        <v>61</v>
      </c>
      <c r="U100" s="1">
        <v>29</v>
      </c>
      <c r="V100" s="2">
        <v>2.03252032520325</v>
      </c>
      <c r="W100" s="2">
        <v>30.290456431535301</v>
      </c>
      <c r="X100" s="2">
        <v>57.676348547717801</v>
      </c>
      <c r="Y100" s="2">
        <v>12.0331950207469</v>
      </c>
      <c r="Z100" s="2">
        <v>32.365145228215802</v>
      </c>
    </row>
    <row r="101" spans="1:26" x14ac:dyDescent="0.3">
      <c r="A101" s="2" t="s">
        <v>182</v>
      </c>
      <c r="B101" s="1">
        <v>2404</v>
      </c>
      <c r="C101" s="2" t="s">
        <v>11</v>
      </c>
      <c r="D101" s="1">
        <v>240402</v>
      </c>
      <c r="E101" s="2" t="s">
        <v>15</v>
      </c>
      <c r="F101" s="1">
        <v>2404020005</v>
      </c>
      <c r="G101" s="2" t="s">
        <v>83</v>
      </c>
      <c r="H101" s="1">
        <v>24040206601</v>
      </c>
      <c r="I101" s="2" t="s">
        <v>160</v>
      </c>
      <c r="J101" s="1">
        <v>3</v>
      </c>
      <c r="K101" s="2" t="s">
        <v>12</v>
      </c>
      <c r="L101" s="1">
        <v>2</v>
      </c>
      <c r="M101" s="2" t="s">
        <v>166</v>
      </c>
      <c r="N101" s="2" t="s">
        <v>13</v>
      </c>
      <c r="O101" s="1">
        <v>256</v>
      </c>
      <c r="P101" s="1">
        <v>249</v>
      </c>
      <c r="Q101" s="1">
        <v>7</v>
      </c>
      <c r="R101" s="1">
        <v>62</v>
      </c>
      <c r="S101" s="1">
        <v>74</v>
      </c>
      <c r="T101" s="1">
        <v>81</v>
      </c>
      <c r="U101" s="1">
        <v>32</v>
      </c>
      <c r="V101" s="2">
        <v>2.734375</v>
      </c>
      <c r="W101" s="2">
        <v>24.899598393574301</v>
      </c>
      <c r="X101" s="2">
        <v>62.2489959839357</v>
      </c>
      <c r="Y101" s="2">
        <v>12.851405622490001</v>
      </c>
      <c r="Z101" s="2">
        <v>29.718875502008</v>
      </c>
    </row>
    <row r="102" spans="1:26" x14ac:dyDescent="0.3">
      <c r="A102" s="2" t="s">
        <v>182</v>
      </c>
      <c r="B102" s="1">
        <v>2404</v>
      </c>
      <c r="C102" s="2" t="s">
        <v>11</v>
      </c>
      <c r="D102" s="1">
        <v>240402</v>
      </c>
      <c r="E102" s="2" t="s">
        <v>15</v>
      </c>
      <c r="F102" s="1">
        <v>2404020007</v>
      </c>
      <c r="G102" s="2" t="s">
        <v>16</v>
      </c>
      <c r="H102" s="1">
        <v>24040205001</v>
      </c>
      <c r="I102" s="2" t="s">
        <v>52</v>
      </c>
      <c r="J102" s="1">
        <v>3</v>
      </c>
      <c r="K102" s="2" t="s">
        <v>12</v>
      </c>
      <c r="L102" s="1">
        <v>2</v>
      </c>
      <c r="M102" s="2" t="s">
        <v>166</v>
      </c>
      <c r="N102" s="2" t="s">
        <v>13</v>
      </c>
      <c r="O102" s="1">
        <v>365</v>
      </c>
      <c r="P102" s="1">
        <v>361</v>
      </c>
      <c r="Q102" s="1">
        <v>4</v>
      </c>
      <c r="R102" s="1">
        <v>181</v>
      </c>
      <c r="S102" s="1">
        <v>97</v>
      </c>
      <c r="T102" s="1">
        <v>68</v>
      </c>
      <c r="U102" s="1">
        <v>15</v>
      </c>
      <c r="V102" s="2">
        <v>1.0958904109589001</v>
      </c>
      <c r="W102" s="2">
        <v>50.1385041551247</v>
      </c>
      <c r="X102" s="2">
        <v>45.706371191135702</v>
      </c>
      <c r="Y102" s="2">
        <v>4.1551246537396098</v>
      </c>
      <c r="Z102" s="2">
        <v>26.869806094182799</v>
      </c>
    </row>
    <row r="103" spans="1:26" x14ac:dyDescent="0.3">
      <c r="A103" s="2" t="s">
        <v>182</v>
      </c>
      <c r="B103" s="1">
        <v>2404</v>
      </c>
      <c r="C103" s="2" t="s">
        <v>11</v>
      </c>
      <c r="D103" s="1">
        <v>240402</v>
      </c>
      <c r="E103" s="2" t="s">
        <v>15</v>
      </c>
      <c r="F103" s="1">
        <v>2404020007</v>
      </c>
      <c r="G103" s="2" t="s">
        <v>16</v>
      </c>
      <c r="H103" s="1">
        <v>24040208601</v>
      </c>
      <c r="I103" s="2" t="s">
        <v>71</v>
      </c>
      <c r="J103" s="1">
        <v>3</v>
      </c>
      <c r="K103" s="2" t="s">
        <v>12</v>
      </c>
      <c r="L103" s="1">
        <v>2</v>
      </c>
      <c r="M103" s="2" t="s">
        <v>166</v>
      </c>
      <c r="N103" s="2" t="s">
        <v>13</v>
      </c>
      <c r="O103" s="1">
        <v>249</v>
      </c>
      <c r="P103" s="1">
        <v>236</v>
      </c>
      <c r="Q103" s="1">
        <v>13</v>
      </c>
      <c r="R103" s="1">
        <v>65</v>
      </c>
      <c r="S103" s="1">
        <v>61</v>
      </c>
      <c r="T103" s="1">
        <v>65</v>
      </c>
      <c r="U103" s="1">
        <v>45</v>
      </c>
      <c r="V103" s="2">
        <v>5.2208835341365498</v>
      </c>
      <c r="W103" s="2">
        <v>27.542372881355899</v>
      </c>
      <c r="X103" s="2">
        <v>53.389830508474603</v>
      </c>
      <c r="Y103" s="2">
        <v>19.067796610169498</v>
      </c>
      <c r="Z103" s="2">
        <v>25.847457627118601</v>
      </c>
    </row>
    <row r="104" spans="1:26" x14ac:dyDescent="0.3">
      <c r="A104" s="2" t="s">
        <v>182</v>
      </c>
      <c r="B104" s="1">
        <v>2404</v>
      </c>
      <c r="C104" s="2" t="s">
        <v>11</v>
      </c>
      <c r="D104" s="1">
        <v>240402</v>
      </c>
      <c r="E104" s="2" t="s">
        <v>15</v>
      </c>
      <c r="F104" s="1">
        <v>2404020008</v>
      </c>
      <c r="G104" s="2" t="s">
        <v>18</v>
      </c>
      <c r="H104" s="1">
        <v>24040200501</v>
      </c>
      <c r="I104" s="2" t="s">
        <v>22</v>
      </c>
      <c r="J104" s="1">
        <v>3</v>
      </c>
      <c r="K104" s="2" t="s">
        <v>12</v>
      </c>
      <c r="L104" s="1">
        <v>2</v>
      </c>
      <c r="M104" s="2" t="s">
        <v>166</v>
      </c>
      <c r="N104" s="2" t="s">
        <v>13</v>
      </c>
      <c r="O104" s="1">
        <v>262</v>
      </c>
      <c r="P104" s="1">
        <v>258</v>
      </c>
      <c r="Q104" s="1">
        <v>4</v>
      </c>
      <c r="R104" s="1">
        <v>58</v>
      </c>
      <c r="S104" s="1">
        <v>91</v>
      </c>
      <c r="T104" s="1">
        <v>78</v>
      </c>
      <c r="U104" s="1">
        <v>31</v>
      </c>
      <c r="V104" s="2">
        <v>1.5267175572519101</v>
      </c>
      <c r="W104" s="2">
        <v>22.4806201550388</v>
      </c>
      <c r="X104" s="2">
        <v>65.503875968992205</v>
      </c>
      <c r="Y104" s="2">
        <v>12.015503875968999</v>
      </c>
      <c r="Z104" s="2">
        <v>35.271317829457402</v>
      </c>
    </row>
    <row r="105" spans="1:26" x14ac:dyDescent="0.3">
      <c r="A105" s="2" t="s">
        <v>182</v>
      </c>
      <c r="B105" s="1">
        <v>2404</v>
      </c>
      <c r="C105" s="2" t="s">
        <v>11</v>
      </c>
      <c r="D105" s="1">
        <v>240402</v>
      </c>
      <c r="E105" s="2" t="s">
        <v>15</v>
      </c>
      <c r="F105" s="1">
        <v>2404020009</v>
      </c>
      <c r="G105" s="2" t="s">
        <v>34</v>
      </c>
      <c r="H105" s="1">
        <v>24040213401</v>
      </c>
      <c r="I105" s="2" t="s">
        <v>105</v>
      </c>
      <c r="J105" s="1">
        <v>3</v>
      </c>
      <c r="K105" s="2" t="s">
        <v>12</v>
      </c>
      <c r="L105" s="1">
        <v>2</v>
      </c>
      <c r="M105" s="2" t="s">
        <v>166</v>
      </c>
      <c r="N105" s="2" t="s">
        <v>13</v>
      </c>
      <c r="O105" s="1">
        <v>236</v>
      </c>
      <c r="P105" s="1">
        <v>234</v>
      </c>
      <c r="Q105" s="1">
        <v>2</v>
      </c>
      <c r="R105" s="1">
        <v>36</v>
      </c>
      <c r="S105" s="1">
        <v>72</v>
      </c>
      <c r="T105" s="1">
        <v>85</v>
      </c>
      <c r="U105" s="1">
        <v>41</v>
      </c>
      <c r="V105" s="2">
        <v>0.84745762711864403</v>
      </c>
      <c r="W105" s="2">
        <v>15.384615384615399</v>
      </c>
      <c r="X105" s="2">
        <v>67.094017094017104</v>
      </c>
      <c r="Y105" s="2">
        <v>17.521367521367502</v>
      </c>
      <c r="Z105" s="2">
        <v>30.769230769230798</v>
      </c>
    </row>
    <row r="106" spans="1:26" x14ac:dyDescent="0.3">
      <c r="A106" s="2" t="s">
        <v>182</v>
      </c>
      <c r="B106" s="1">
        <v>2404</v>
      </c>
      <c r="C106" s="2" t="s">
        <v>11</v>
      </c>
      <c r="D106" s="1">
        <v>240402</v>
      </c>
      <c r="E106" s="2" t="s">
        <v>15</v>
      </c>
      <c r="F106" s="1">
        <v>2404020011</v>
      </c>
      <c r="G106" s="2" t="s">
        <v>48</v>
      </c>
      <c r="H106" s="1">
        <v>24040207901</v>
      </c>
      <c r="I106" s="2" t="s">
        <v>66</v>
      </c>
      <c r="J106" s="1">
        <v>3</v>
      </c>
      <c r="K106" s="2" t="s">
        <v>12</v>
      </c>
      <c r="L106" s="1">
        <v>2</v>
      </c>
      <c r="M106" s="2" t="s">
        <v>166</v>
      </c>
      <c r="N106" s="2" t="s">
        <v>13</v>
      </c>
      <c r="O106" s="1">
        <v>169</v>
      </c>
      <c r="P106" s="1">
        <v>152</v>
      </c>
      <c r="Q106" s="1">
        <v>17</v>
      </c>
      <c r="R106" s="1">
        <v>48</v>
      </c>
      <c r="S106" s="1">
        <v>46</v>
      </c>
      <c r="T106" s="1">
        <v>45</v>
      </c>
      <c r="U106" s="1">
        <v>13</v>
      </c>
      <c r="V106" s="2">
        <v>10.0591715976331</v>
      </c>
      <c r="W106" s="2">
        <v>31.578947368421101</v>
      </c>
      <c r="X106" s="2">
        <v>59.868421052631597</v>
      </c>
      <c r="Y106" s="2">
        <v>8.5526315789473699</v>
      </c>
      <c r="Z106" s="2">
        <v>30.2631578947368</v>
      </c>
    </row>
    <row r="107" spans="1:26" x14ac:dyDescent="0.3">
      <c r="A107" s="2" t="s">
        <v>182</v>
      </c>
      <c r="B107" s="1">
        <v>2404</v>
      </c>
      <c r="C107" s="2" t="s">
        <v>11</v>
      </c>
      <c r="D107" s="1">
        <v>240402</v>
      </c>
      <c r="E107" s="2" t="s">
        <v>15</v>
      </c>
      <c r="F107" s="1">
        <v>2404020011</v>
      </c>
      <c r="G107" s="2" t="s">
        <v>48</v>
      </c>
      <c r="H107" s="1">
        <v>24040210301</v>
      </c>
      <c r="I107" s="2" t="s">
        <v>85</v>
      </c>
      <c r="J107" s="1">
        <v>3</v>
      </c>
      <c r="K107" s="2" t="s">
        <v>12</v>
      </c>
      <c r="L107" s="1">
        <v>2</v>
      </c>
      <c r="M107" s="2" t="s">
        <v>166</v>
      </c>
      <c r="N107" s="2" t="s">
        <v>13</v>
      </c>
      <c r="O107" s="1">
        <v>177</v>
      </c>
      <c r="P107" s="1">
        <v>170</v>
      </c>
      <c r="Q107" s="1">
        <v>7</v>
      </c>
      <c r="R107" s="1">
        <v>95</v>
      </c>
      <c r="S107" s="1">
        <v>48</v>
      </c>
      <c r="T107" s="1">
        <v>20</v>
      </c>
      <c r="U107" s="1">
        <v>7</v>
      </c>
      <c r="V107" s="2">
        <v>3.9548022598870101</v>
      </c>
      <c r="W107" s="2">
        <v>55.882352941176499</v>
      </c>
      <c r="X107" s="2">
        <v>40</v>
      </c>
      <c r="Y107" s="2">
        <v>4.1176470588235299</v>
      </c>
      <c r="Z107" s="2">
        <v>28.235294117647101</v>
      </c>
    </row>
    <row r="108" spans="1:26" x14ac:dyDescent="0.3">
      <c r="A108" s="2" t="s">
        <v>182</v>
      </c>
      <c r="B108" s="1">
        <v>2404</v>
      </c>
      <c r="C108" s="2" t="s">
        <v>11</v>
      </c>
      <c r="D108" s="1">
        <v>240402</v>
      </c>
      <c r="E108" s="2" t="s">
        <v>15</v>
      </c>
      <c r="F108" s="1">
        <v>2404020012</v>
      </c>
      <c r="G108" s="2" t="s">
        <v>37</v>
      </c>
      <c r="H108" s="1">
        <v>24040208401</v>
      </c>
      <c r="I108" s="2" t="s">
        <v>69</v>
      </c>
      <c r="J108" s="1">
        <v>3</v>
      </c>
      <c r="K108" s="2" t="s">
        <v>12</v>
      </c>
      <c r="L108" s="1">
        <v>2</v>
      </c>
      <c r="M108" s="2" t="s">
        <v>166</v>
      </c>
      <c r="N108" s="2" t="s">
        <v>13</v>
      </c>
      <c r="O108" s="1">
        <v>133</v>
      </c>
      <c r="P108" s="1">
        <v>131</v>
      </c>
      <c r="Q108" s="1">
        <v>2</v>
      </c>
      <c r="R108" s="1">
        <v>58</v>
      </c>
      <c r="S108" s="1">
        <v>37</v>
      </c>
      <c r="T108" s="1">
        <v>27</v>
      </c>
      <c r="U108" s="1">
        <v>9</v>
      </c>
      <c r="V108" s="2">
        <v>1.5037593984962401</v>
      </c>
      <c r="W108" s="2">
        <v>44.274809160305303</v>
      </c>
      <c r="X108" s="2">
        <v>48.8549618320611</v>
      </c>
      <c r="Y108" s="2">
        <v>6.8702290076335899</v>
      </c>
      <c r="Z108" s="2">
        <v>28.244274809160299</v>
      </c>
    </row>
    <row r="109" spans="1:26" x14ac:dyDescent="0.3">
      <c r="A109" s="2" t="s">
        <v>182</v>
      </c>
      <c r="B109" s="1">
        <v>2404</v>
      </c>
      <c r="C109" s="2" t="s">
        <v>11</v>
      </c>
      <c r="D109" s="1">
        <v>240402</v>
      </c>
      <c r="E109" s="2" t="s">
        <v>15</v>
      </c>
      <c r="F109" s="1">
        <v>2404020012</v>
      </c>
      <c r="G109" s="2" t="s">
        <v>37</v>
      </c>
      <c r="H109" s="1">
        <v>24040210802</v>
      </c>
      <c r="I109" s="2" t="s">
        <v>89</v>
      </c>
      <c r="J109" s="1">
        <v>3</v>
      </c>
      <c r="K109" s="2" t="s">
        <v>12</v>
      </c>
      <c r="L109" s="1">
        <v>2</v>
      </c>
      <c r="M109" s="2" t="s">
        <v>166</v>
      </c>
      <c r="N109" s="2" t="s">
        <v>13</v>
      </c>
      <c r="O109" s="1">
        <v>219</v>
      </c>
      <c r="P109" s="1">
        <v>217</v>
      </c>
      <c r="Q109" s="1">
        <v>2</v>
      </c>
      <c r="R109" s="1">
        <v>139</v>
      </c>
      <c r="S109" s="1">
        <v>40</v>
      </c>
      <c r="T109" s="1">
        <v>25</v>
      </c>
      <c r="U109" s="1">
        <v>13</v>
      </c>
      <c r="V109" s="2">
        <v>0.91324200913242004</v>
      </c>
      <c r="W109" s="2">
        <v>64.055299539170505</v>
      </c>
      <c r="X109" s="2">
        <v>29.953917050691199</v>
      </c>
      <c r="Y109" s="2">
        <v>5.99078341013825</v>
      </c>
      <c r="Z109" s="2">
        <v>18.433179723502299</v>
      </c>
    </row>
    <row r="110" spans="1:26" x14ac:dyDescent="0.3">
      <c r="A110" s="2" t="s">
        <v>182</v>
      </c>
      <c r="B110" s="1">
        <v>2404</v>
      </c>
      <c r="C110" s="2" t="s">
        <v>11</v>
      </c>
      <c r="D110" s="1">
        <v>240402</v>
      </c>
      <c r="E110" s="2" t="s">
        <v>15</v>
      </c>
      <c r="F110" s="1">
        <v>2404020004</v>
      </c>
      <c r="G110" s="2" t="s">
        <v>30</v>
      </c>
      <c r="H110" s="1">
        <v>24040201301</v>
      </c>
      <c r="I110" s="2" t="s">
        <v>31</v>
      </c>
      <c r="J110" s="1">
        <v>3</v>
      </c>
      <c r="K110" s="2" t="s">
        <v>12</v>
      </c>
      <c r="L110" s="1">
        <v>2</v>
      </c>
      <c r="M110" s="2" t="s">
        <v>166</v>
      </c>
      <c r="N110" s="2" t="s">
        <v>13</v>
      </c>
      <c r="O110" s="1">
        <v>219</v>
      </c>
      <c r="P110" s="1">
        <v>217</v>
      </c>
      <c r="Q110" s="1">
        <v>2</v>
      </c>
      <c r="R110" s="1">
        <v>79</v>
      </c>
      <c r="S110" s="1">
        <v>81</v>
      </c>
      <c r="T110" s="1">
        <v>48</v>
      </c>
      <c r="U110" s="1">
        <v>9</v>
      </c>
      <c r="V110" s="2">
        <v>0.91324200913242004</v>
      </c>
      <c r="W110" s="2">
        <v>36.405529953916997</v>
      </c>
      <c r="X110" s="2">
        <v>59.447004608294897</v>
      </c>
      <c r="Y110" s="2">
        <v>4.1474654377880196</v>
      </c>
      <c r="Z110" s="2">
        <v>37.327188940092199</v>
      </c>
    </row>
    <row r="111" spans="1:26" x14ac:dyDescent="0.3">
      <c r="A111" s="2" t="s">
        <v>182</v>
      </c>
      <c r="B111" s="1">
        <v>2404</v>
      </c>
      <c r="C111" s="2" t="s">
        <v>11</v>
      </c>
      <c r="D111" s="1">
        <v>240402</v>
      </c>
      <c r="E111" s="2" t="s">
        <v>15</v>
      </c>
      <c r="F111" s="1">
        <v>2404020004</v>
      </c>
      <c r="G111" s="2" t="s">
        <v>30</v>
      </c>
      <c r="H111" s="1">
        <v>24040205801</v>
      </c>
      <c r="I111" s="2" t="s">
        <v>156</v>
      </c>
      <c r="J111" s="1">
        <v>3</v>
      </c>
      <c r="K111" s="2" t="s">
        <v>12</v>
      </c>
      <c r="L111" s="1">
        <v>2</v>
      </c>
      <c r="M111" s="2" t="s">
        <v>166</v>
      </c>
      <c r="N111" s="2" t="s">
        <v>13</v>
      </c>
      <c r="O111" s="1">
        <v>418</v>
      </c>
      <c r="P111" s="1">
        <v>416</v>
      </c>
      <c r="Q111" s="1">
        <v>2</v>
      </c>
      <c r="R111" s="1">
        <v>101</v>
      </c>
      <c r="S111" s="1">
        <v>161</v>
      </c>
      <c r="T111" s="1">
        <v>116</v>
      </c>
      <c r="U111" s="1">
        <v>38</v>
      </c>
      <c r="V111" s="2">
        <v>0.47846889952153099</v>
      </c>
      <c r="W111" s="2">
        <v>24.278846153846199</v>
      </c>
      <c r="X111" s="2">
        <v>66.586538461538495</v>
      </c>
      <c r="Y111" s="2">
        <v>9.1346153846153797</v>
      </c>
      <c r="Z111" s="2">
        <v>38.701923076923102</v>
      </c>
    </row>
    <row r="112" spans="1:26" x14ac:dyDescent="0.3">
      <c r="A112" s="2" t="s">
        <v>182</v>
      </c>
      <c r="B112" s="1">
        <v>2404</v>
      </c>
      <c r="C112" s="2" t="s">
        <v>11</v>
      </c>
      <c r="D112" s="1">
        <v>240402</v>
      </c>
      <c r="E112" s="2" t="s">
        <v>15</v>
      </c>
      <c r="F112" s="1">
        <v>2404020006</v>
      </c>
      <c r="G112" s="2" t="s">
        <v>56</v>
      </c>
      <c r="H112" s="1">
        <v>24040213601</v>
      </c>
      <c r="I112" s="2" t="s">
        <v>107</v>
      </c>
      <c r="J112" s="1">
        <v>3</v>
      </c>
      <c r="K112" s="2" t="s">
        <v>12</v>
      </c>
      <c r="L112" s="1">
        <v>2</v>
      </c>
      <c r="M112" s="2" t="s">
        <v>166</v>
      </c>
      <c r="N112" s="2" t="s">
        <v>13</v>
      </c>
      <c r="O112" s="1">
        <v>160</v>
      </c>
      <c r="P112" s="1">
        <v>155</v>
      </c>
      <c r="Q112" s="1">
        <v>5</v>
      </c>
      <c r="R112" s="1">
        <v>48</v>
      </c>
      <c r="S112" s="1">
        <v>45</v>
      </c>
      <c r="T112" s="1">
        <v>41</v>
      </c>
      <c r="U112" s="1">
        <v>21</v>
      </c>
      <c r="V112" s="2">
        <v>3.125</v>
      </c>
      <c r="W112" s="2">
        <v>30.9677419354839</v>
      </c>
      <c r="X112" s="2">
        <v>55.4838709677419</v>
      </c>
      <c r="Y112" s="2">
        <v>13.548387096774199</v>
      </c>
      <c r="Z112" s="2">
        <v>29.0322580645161</v>
      </c>
    </row>
    <row r="113" spans="1:26" x14ac:dyDescent="0.3">
      <c r="A113" s="2" t="s">
        <v>182</v>
      </c>
      <c r="B113" s="1">
        <v>2404</v>
      </c>
      <c r="C113" s="2" t="s">
        <v>11</v>
      </c>
      <c r="D113" s="1">
        <v>240402</v>
      </c>
      <c r="E113" s="2" t="s">
        <v>15</v>
      </c>
      <c r="F113" s="1">
        <v>2404020008</v>
      </c>
      <c r="G113" s="2" t="s">
        <v>18</v>
      </c>
      <c r="H113" s="1">
        <v>24040206201</v>
      </c>
      <c r="I113" s="2" t="s">
        <v>157</v>
      </c>
      <c r="J113" s="1">
        <v>3</v>
      </c>
      <c r="K113" s="2" t="s">
        <v>12</v>
      </c>
      <c r="L113" s="1">
        <v>2</v>
      </c>
      <c r="M113" s="2" t="s">
        <v>166</v>
      </c>
      <c r="N113" s="2" t="s">
        <v>13</v>
      </c>
      <c r="O113" s="1">
        <v>361</v>
      </c>
      <c r="P113" s="1">
        <v>352</v>
      </c>
      <c r="Q113" s="1">
        <v>9</v>
      </c>
      <c r="R113" s="1">
        <v>113</v>
      </c>
      <c r="S113" s="1">
        <v>150</v>
      </c>
      <c r="T113" s="1">
        <v>80</v>
      </c>
      <c r="U113" s="1">
        <v>9</v>
      </c>
      <c r="V113" s="2">
        <v>2.4930747922437702</v>
      </c>
      <c r="W113" s="2">
        <v>32.102272727272698</v>
      </c>
      <c r="X113" s="2">
        <v>65.340909090909093</v>
      </c>
      <c r="Y113" s="2">
        <v>2.5568181818181799</v>
      </c>
      <c r="Z113" s="2">
        <v>42.613636363636402</v>
      </c>
    </row>
    <row r="114" spans="1:26" x14ac:dyDescent="0.3">
      <c r="A114" s="2" t="s">
        <v>182</v>
      </c>
      <c r="B114" s="1">
        <v>2404</v>
      </c>
      <c r="C114" s="2" t="s">
        <v>11</v>
      </c>
      <c r="D114" s="1">
        <v>240402</v>
      </c>
      <c r="E114" s="2" t="s">
        <v>15</v>
      </c>
      <c r="F114" s="1">
        <v>2404020008</v>
      </c>
      <c r="G114" s="2" t="s">
        <v>18</v>
      </c>
      <c r="H114" s="1">
        <v>24040211301</v>
      </c>
      <c r="I114" s="2" t="s">
        <v>93</v>
      </c>
      <c r="J114" s="1">
        <v>3</v>
      </c>
      <c r="K114" s="2" t="s">
        <v>12</v>
      </c>
      <c r="L114" s="1">
        <v>2</v>
      </c>
      <c r="M114" s="2" t="s">
        <v>166</v>
      </c>
      <c r="N114" s="2" t="s">
        <v>13</v>
      </c>
      <c r="O114" s="1">
        <v>211</v>
      </c>
      <c r="P114" s="1">
        <v>199</v>
      </c>
      <c r="Q114" s="1">
        <v>12</v>
      </c>
      <c r="R114" s="1">
        <v>32</v>
      </c>
      <c r="S114" s="1">
        <v>84</v>
      </c>
      <c r="T114" s="1">
        <v>53</v>
      </c>
      <c r="U114" s="1">
        <v>30</v>
      </c>
      <c r="V114" s="2">
        <v>5.68720379146919</v>
      </c>
      <c r="W114" s="2">
        <v>16.0804020100502</v>
      </c>
      <c r="X114" s="2">
        <v>68.844221105527595</v>
      </c>
      <c r="Y114" s="2">
        <v>15.0753768844221</v>
      </c>
      <c r="Z114" s="2">
        <v>42.211055276381899</v>
      </c>
    </row>
    <row r="115" spans="1:26" x14ac:dyDescent="0.3">
      <c r="A115" s="2" t="s">
        <v>182</v>
      </c>
      <c r="B115" s="1">
        <v>2404</v>
      </c>
      <c r="C115" s="2" t="s">
        <v>11</v>
      </c>
      <c r="D115" s="1">
        <v>240402</v>
      </c>
      <c r="E115" s="2" t="s">
        <v>15</v>
      </c>
      <c r="F115" s="1">
        <v>2404020009</v>
      </c>
      <c r="G115" s="2" t="s">
        <v>34</v>
      </c>
      <c r="H115" s="1">
        <v>24040209001</v>
      </c>
      <c r="I115" s="2" t="s">
        <v>74</v>
      </c>
      <c r="J115" s="1">
        <v>3</v>
      </c>
      <c r="K115" s="2" t="s">
        <v>12</v>
      </c>
      <c r="L115" s="1">
        <v>2</v>
      </c>
      <c r="M115" s="2" t="s">
        <v>166</v>
      </c>
      <c r="N115" s="2" t="s">
        <v>13</v>
      </c>
      <c r="O115" s="1">
        <v>366</v>
      </c>
      <c r="P115" s="1">
        <v>364</v>
      </c>
      <c r="Q115" s="1">
        <v>2</v>
      </c>
      <c r="R115" s="1">
        <v>91</v>
      </c>
      <c r="S115" s="1">
        <v>100</v>
      </c>
      <c r="T115" s="1">
        <v>133</v>
      </c>
      <c r="U115" s="1">
        <v>40</v>
      </c>
      <c r="V115" s="2">
        <v>0.54644808743169404</v>
      </c>
      <c r="W115" s="2">
        <v>25</v>
      </c>
      <c r="X115" s="2">
        <v>64.010989010988993</v>
      </c>
      <c r="Y115" s="2">
        <v>10.989010989011</v>
      </c>
      <c r="Z115" s="2">
        <v>27.472527472527499</v>
      </c>
    </row>
    <row r="116" spans="1:26" x14ac:dyDescent="0.3">
      <c r="A116" s="2" t="s">
        <v>182</v>
      </c>
      <c r="B116" s="1">
        <v>2404</v>
      </c>
      <c r="C116" s="2" t="s">
        <v>11</v>
      </c>
      <c r="D116" s="1">
        <v>240402</v>
      </c>
      <c r="E116" s="2" t="s">
        <v>15</v>
      </c>
      <c r="F116" s="1">
        <v>2404020009</v>
      </c>
      <c r="G116" s="2" t="s">
        <v>34</v>
      </c>
      <c r="H116" s="1">
        <v>24040212801</v>
      </c>
      <c r="I116" s="2" t="s">
        <v>101</v>
      </c>
      <c r="J116" s="1">
        <v>3</v>
      </c>
      <c r="K116" s="2" t="s">
        <v>12</v>
      </c>
      <c r="L116" s="1">
        <v>2</v>
      </c>
      <c r="M116" s="2" t="s">
        <v>166</v>
      </c>
      <c r="N116" s="2" t="s">
        <v>13</v>
      </c>
      <c r="O116" s="1">
        <v>261</v>
      </c>
      <c r="P116" s="1">
        <v>259</v>
      </c>
      <c r="Q116" s="1">
        <v>2</v>
      </c>
      <c r="R116" s="1">
        <v>52</v>
      </c>
      <c r="S116" s="1">
        <v>77</v>
      </c>
      <c r="T116" s="1">
        <v>93</v>
      </c>
      <c r="U116" s="1">
        <v>37</v>
      </c>
      <c r="V116" s="2">
        <v>0.76628352490421403</v>
      </c>
      <c r="W116" s="2">
        <v>20.077220077220101</v>
      </c>
      <c r="X116" s="2">
        <v>65.637065637065604</v>
      </c>
      <c r="Y116" s="2">
        <v>14.285714285714301</v>
      </c>
      <c r="Z116" s="2">
        <v>29.729729729729701</v>
      </c>
    </row>
    <row r="117" spans="1:26" x14ac:dyDescent="0.3">
      <c r="A117" s="2" t="s">
        <v>182</v>
      </c>
      <c r="B117" s="1">
        <v>2404</v>
      </c>
      <c r="C117" s="2" t="s">
        <v>11</v>
      </c>
      <c r="D117" s="1">
        <v>240402</v>
      </c>
      <c r="E117" s="2" t="s">
        <v>15</v>
      </c>
      <c r="F117" s="1">
        <v>2404020010</v>
      </c>
      <c r="G117" s="2" t="s">
        <v>20</v>
      </c>
      <c r="H117" s="1">
        <v>24040200401</v>
      </c>
      <c r="I117" s="2" t="s">
        <v>21</v>
      </c>
      <c r="J117" s="1">
        <v>3</v>
      </c>
      <c r="K117" s="2" t="s">
        <v>12</v>
      </c>
      <c r="L117" s="1">
        <v>2</v>
      </c>
      <c r="M117" s="2" t="s">
        <v>166</v>
      </c>
      <c r="N117" s="2" t="s">
        <v>13</v>
      </c>
      <c r="O117" s="1">
        <v>541</v>
      </c>
      <c r="P117" s="1">
        <v>529</v>
      </c>
      <c r="Q117" s="1">
        <v>12</v>
      </c>
      <c r="R117" s="1">
        <v>198</v>
      </c>
      <c r="S117" s="1">
        <v>158</v>
      </c>
      <c r="T117" s="1">
        <v>157</v>
      </c>
      <c r="U117" s="1">
        <v>16</v>
      </c>
      <c r="V117" s="2">
        <v>2.2181146025878</v>
      </c>
      <c r="W117" s="2">
        <v>37.429111531190898</v>
      </c>
      <c r="X117" s="2">
        <v>59.546313799621899</v>
      </c>
      <c r="Y117" s="2">
        <v>3.02457466918715</v>
      </c>
      <c r="Z117" s="2">
        <v>29.867674858223101</v>
      </c>
    </row>
    <row r="118" spans="1:26" x14ac:dyDescent="0.3">
      <c r="A118" s="2" t="s">
        <v>182</v>
      </c>
      <c r="B118" s="1">
        <v>2404</v>
      </c>
      <c r="C118" s="2" t="s">
        <v>11</v>
      </c>
      <c r="D118" s="1">
        <v>240402</v>
      </c>
      <c r="E118" s="2" t="s">
        <v>15</v>
      </c>
      <c r="F118" s="1">
        <v>2404020012</v>
      </c>
      <c r="G118" s="2" t="s">
        <v>37</v>
      </c>
      <c r="H118" s="1">
        <v>24040210804</v>
      </c>
      <c r="I118" s="2" t="s">
        <v>115</v>
      </c>
      <c r="J118" s="1">
        <v>3</v>
      </c>
      <c r="K118" s="2" t="s">
        <v>12</v>
      </c>
      <c r="L118" s="1">
        <v>2</v>
      </c>
      <c r="M118" s="2" t="s">
        <v>166</v>
      </c>
      <c r="N118" s="2" t="s">
        <v>13</v>
      </c>
      <c r="O118" s="1">
        <v>819</v>
      </c>
      <c r="P118" s="1">
        <v>807</v>
      </c>
      <c r="Q118" s="1">
        <v>12</v>
      </c>
      <c r="R118" s="1">
        <v>239</v>
      </c>
      <c r="S118" s="1">
        <v>252</v>
      </c>
      <c r="T118" s="1">
        <v>193</v>
      </c>
      <c r="U118" s="1">
        <v>123</v>
      </c>
      <c r="V118" s="2">
        <v>1.46520146520147</v>
      </c>
      <c r="W118" s="2">
        <v>29.615861214374199</v>
      </c>
      <c r="X118" s="2">
        <v>55.142503097893403</v>
      </c>
      <c r="Y118" s="2">
        <v>15.2416356877323</v>
      </c>
      <c r="Z118" s="2">
        <v>31.226765799256501</v>
      </c>
    </row>
    <row r="119" spans="1:26" x14ac:dyDescent="0.3">
      <c r="A119" s="2" t="s">
        <v>182</v>
      </c>
      <c r="B119" s="1">
        <v>2404</v>
      </c>
      <c r="C119" s="2" t="s">
        <v>11</v>
      </c>
      <c r="D119" s="1">
        <v>240402</v>
      </c>
      <c r="E119" s="2" t="s">
        <v>15</v>
      </c>
      <c r="F119" s="1">
        <v>2404020014</v>
      </c>
      <c r="G119" s="2" t="s">
        <v>28</v>
      </c>
      <c r="H119" s="1">
        <v>24040201201</v>
      </c>
      <c r="I119" s="2" t="s">
        <v>29</v>
      </c>
      <c r="J119" s="1">
        <v>3</v>
      </c>
      <c r="K119" s="2" t="s">
        <v>12</v>
      </c>
      <c r="L119" s="1">
        <v>2</v>
      </c>
      <c r="M119" s="2" t="s">
        <v>166</v>
      </c>
      <c r="N119" s="2" t="s">
        <v>13</v>
      </c>
      <c r="O119" s="1">
        <v>126</v>
      </c>
      <c r="P119" s="1">
        <v>124</v>
      </c>
      <c r="Q119" s="1">
        <v>2</v>
      </c>
      <c r="R119" s="1">
        <v>31</v>
      </c>
      <c r="S119" s="1">
        <v>29</v>
      </c>
      <c r="T119" s="1">
        <v>52</v>
      </c>
      <c r="U119" s="1">
        <v>12</v>
      </c>
      <c r="V119" s="2">
        <v>1.5873015873015901</v>
      </c>
      <c r="W119" s="2">
        <v>25</v>
      </c>
      <c r="X119" s="2">
        <v>65.322580645161295</v>
      </c>
      <c r="Y119" s="2">
        <v>9.67741935483871</v>
      </c>
      <c r="Z119" s="2">
        <v>23.387096774193498</v>
      </c>
    </row>
    <row r="120" spans="1:26" x14ac:dyDescent="0.3">
      <c r="A120" s="2" t="s">
        <v>182</v>
      </c>
      <c r="B120" s="1">
        <v>2404</v>
      </c>
      <c r="C120" s="2" t="s">
        <v>11</v>
      </c>
      <c r="D120" s="1">
        <v>240402</v>
      </c>
      <c r="E120" s="2" t="s">
        <v>15</v>
      </c>
      <c r="F120" s="1">
        <v>2404020007</v>
      </c>
      <c r="G120" s="2" t="s">
        <v>16</v>
      </c>
      <c r="H120" s="1">
        <v>24040204901</v>
      </c>
      <c r="I120" s="2" t="s">
        <v>51</v>
      </c>
      <c r="J120" s="1">
        <v>3</v>
      </c>
      <c r="K120" s="2" t="s">
        <v>12</v>
      </c>
      <c r="L120" s="1">
        <v>2</v>
      </c>
      <c r="M120" s="2" t="s">
        <v>166</v>
      </c>
      <c r="N120" s="2" t="s">
        <v>13</v>
      </c>
      <c r="O120" s="1">
        <v>583</v>
      </c>
      <c r="P120" s="1">
        <v>571</v>
      </c>
      <c r="Q120" s="1">
        <v>12</v>
      </c>
      <c r="R120" s="1">
        <v>263</v>
      </c>
      <c r="S120" s="1">
        <v>148</v>
      </c>
      <c r="T120" s="1">
        <v>111</v>
      </c>
      <c r="U120" s="1">
        <v>49</v>
      </c>
      <c r="V120" s="2">
        <v>2.0583190394511202</v>
      </c>
      <c r="W120" s="2">
        <v>46.059544658493898</v>
      </c>
      <c r="X120" s="2">
        <v>45.3590192644483</v>
      </c>
      <c r="Y120" s="2">
        <v>8.5814360770577895</v>
      </c>
      <c r="Z120" s="2">
        <v>25.919439579684799</v>
      </c>
    </row>
    <row r="121" spans="1:26" x14ac:dyDescent="0.3">
      <c r="A121" s="2" t="s">
        <v>182</v>
      </c>
      <c r="B121" s="1">
        <v>2404</v>
      </c>
      <c r="C121" s="2" t="s">
        <v>11</v>
      </c>
      <c r="D121" s="1">
        <v>240402</v>
      </c>
      <c r="E121" s="2" t="s">
        <v>15</v>
      </c>
      <c r="F121" s="1">
        <v>2404020008</v>
      </c>
      <c r="G121" s="2" t="s">
        <v>18</v>
      </c>
      <c r="H121" s="1">
        <v>24040209301</v>
      </c>
      <c r="I121" s="2" t="s">
        <v>76</v>
      </c>
      <c r="J121" s="1">
        <v>3</v>
      </c>
      <c r="K121" s="2" t="s">
        <v>12</v>
      </c>
      <c r="L121" s="1">
        <v>2</v>
      </c>
      <c r="M121" s="2" t="s">
        <v>166</v>
      </c>
      <c r="N121" s="2" t="s">
        <v>13</v>
      </c>
      <c r="O121" s="1">
        <v>110</v>
      </c>
      <c r="P121" s="1">
        <v>106</v>
      </c>
      <c r="Q121" s="1">
        <v>4</v>
      </c>
      <c r="R121" s="1">
        <v>31</v>
      </c>
      <c r="S121" s="1">
        <v>29</v>
      </c>
      <c r="T121" s="1">
        <v>35</v>
      </c>
      <c r="U121" s="1">
        <v>11</v>
      </c>
      <c r="V121" s="2">
        <v>3.6363636363636398</v>
      </c>
      <c r="W121" s="2">
        <v>29.245283018867902</v>
      </c>
      <c r="X121" s="2">
        <v>60.377358490566003</v>
      </c>
      <c r="Y121" s="2">
        <v>10.377358490565999</v>
      </c>
      <c r="Z121" s="2">
        <v>27.358490566037698</v>
      </c>
    </row>
    <row r="122" spans="1:26" x14ac:dyDescent="0.3">
      <c r="A122" s="2" t="s">
        <v>182</v>
      </c>
      <c r="B122" s="1">
        <v>2404</v>
      </c>
      <c r="C122" s="2" t="s">
        <v>11</v>
      </c>
      <c r="D122" s="1">
        <v>240402</v>
      </c>
      <c r="E122" s="2" t="s">
        <v>15</v>
      </c>
      <c r="F122" s="1">
        <v>2404020008</v>
      </c>
      <c r="G122" s="2" t="s">
        <v>18</v>
      </c>
      <c r="H122" s="1">
        <v>24040212701</v>
      </c>
      <c r="I122" s="2" t="s">
        <v>100</v>
      </c>
      <c r="J122" s="1">
        <v>3</v>
      </c>
      <c r="K122" s="2" t="s">
        <v>12</v>
      </c>
      <c r="L122" s="1">
        <v>2</v>
      </c>
      <c r="M122" s="2" t="s">
        <v>166</v>
      </c>
      <c r="N122" s="2" t="s">
        <v>13</v>
      </c>
      <c r="O122" s="1">
        <v>327</v>
      </c>
      <c r="P122" s="1">
        <v>323</v>
      </c>
      <c r="Q122" s="1">
        <v>4</v>
      </c>
      <c r="R122" s="1">
        <v>62</v>
      </c>
      <c r="S122" s="1">
        <v>62</v>
      </c>
      <c r="T122" s="1">
        <v>128</v>
      </c>
      <c r="U122" s="1">
        <v>71</v>
      </c>
      <c r="V122" s="2">
        <v>1.2232415902140701</v>
      </c>
      <c r="W122" s="2">
        <v>19.195046439628499</v>
      </c>
      <c r="X122" s="2">
        <v>58.823529411764703</v>
      </c>
      <c r="Y122" s="2">
        <v>21.981424148606798</v>
      </c>
      <c r="Z122" s="2">
        <v>19.195046439628499</v>
      </c>
    </row>
    <row r="123" spans="1:26" x14ac:dyDescent="0.3">
      <c r="A123" s="2" t="s">
        <v>182</v>
      </c>
      <c r="B123" s="1">
        <v>2404</v>
      </c>
      <c r="C123" s="2" t="s">
        <v>11</v>
      </c>
      <c r="D123" s="1">
        <v>240402</v>
      </c>
      <c r="E123" s="2" t="s">
        <v>15</v>
      </c>
      <c r="F123" s="1">
        <v>2404020008</v>
      </c>
      <c r="G123" s="2" t="s">
        <v>18</v>
      </c>
      <c r="H123" s="1">
        <v>24040213901</v>
      </c>
      <c r="I123" s="2" t="s">
        <v>109</v>
      </c>
      <c r="J123" s="1">
        <v>3</v>
      </c>
      <c r="K123" s="2" t="s">
        <v>12</v>
      </c>
      <c r="L123" s="1">
        <v>2</v>
      </c>
      <c r="M123" s="2" t="s">
        <v>166</v>
      </c>
      <c r="N123" s="2" t="s">
        <v>13</v>
      </c>
      <c r="O123" s="1">
        <v>134</v>
      </c>
      <c r="P123" s="1">
        <v>132</v>
      </c>
      <c r="Q123" s="1">
        <v>2</v>
      </c>
      <c r="R123" s="1">
        <v>39</v>
      </c>
      <c r="S123" s="1">
        <v>41</v>
      </c>
      <c r="T123" s="1">
        <v>39</v>
      </c>
      <c r="U123" s="1">
        <v>13</v>
      </c>
      <c r="V123" s="2">
        <v>1.4925373134328399</v>
      </c>
      <c r="W123" s="2">
        <v>29.545454545454501</v>
      </c>
      <c r="X123" s="2">
        <v>60.606060606060602</v>
      </c>
      <c r="Y123" s="2">
        <v>9.8484848484848495</v>
      </c>
      <c r="Z123" s="2">
        <v>31.060606060606101</v>
      </c>
    </row>
    <row r="124" spans="1:26" x14ac:dyDescent="0.3">
      <c r="A124" s="2" t="s">
        <v>182</v>
      </c>
      <c r="B124" s="1">
        <v>2404</v>
      </c>
      <c r="C124" s="2" t="s">
        <v>11</v>
      </c>
      <c r="D124" s="1">
        <v>240402</v>
      </c>
      <c r="E124" s="2" t="s">
        <v>15</v>
      </c>
      <c r="F124" s="1">
        <v>2404020009</v>
      </c>
      <c r="G124" s="2" t="s">
        <v>34</v>
      </c>
      <c r="H124" s="1">
        <v>24040204201</v>
      </c>
      <c r="I124" s="2" t="s">
        <v>47</v>
      </c>
      <c r="J124" s="1">
        <v>3</v>
      </c>
      <c r="K124" s="2" t="s">
        <v>12</v>
      </c>
      <c r="L124" s="1">
        <v>2</v>
      </c>
      <c r="M124" s="2" t="s">
        <v>166</v>
      </c>
      <c r="N124" s="2" t="s">
        <v>13</v>
      </c>
      <c r="O124" s="1">
        <v>323</v>
      </c>
      <c r="P124" s="1">
        <v>321</v>
      </c>
      <c r="Q124" s="1">
        <v>2</v>
      </c>
      <c r="R124" s="1">
        <v>51</v>
      </c>
      <c r="S124" s="1">
        <v>64</v>
      </c>
      <c r="T124" s="1">
        <v>106</v>
      </c>
      <c r="U124" s="1">
        <v>100</v>
      </c>
      <c r="V124" s="2">
        <v>0.61919504643962897</v>
      </c>
      <c r="W124" s="2">
        <v>15.887850467289701</v>
      </c>
      <c r="X124" s="2">
        <v>52.9595015576324</v>
      </c>
      <c r="Y124" s="2">
        <v>31.152647975077901</v>
      </c>
      <c r="Z124" s="2">
        <v>19.9376947040498</v>
      </c>
    </row>
    <row r="125" spans="1:26" x14ac:dyDescent="0.3">
      <c r="A125" s="2" t="s">
        <v>182</v>
      </c>
      <c r="B125" s="1">
        <v>2404</v>
      </c>
      <c r="C125" s="2" t="s">
        <v>11</v>
      </c>
      <c r="D125" s="1">
        <v>240402</v>
      </c>
      <c r="E125" s="2" t="s">
        <v>15</v>
      </c>
      <c r="F125" s="1">
        <v>2404020010</v>
      </c>
      <c r="G125" s="2" t="s">
        <v>20</v>
      </c>
      <c r="H125" s="1">
        <v>24040201501</v>
      </c>
      <c r="I125" s="2" t="s">
        <v>32</v>
      </c>
      <c r="J125" s="1">
        <v>3</v>
      </c>
      <c r="K125" s="2" t="s">
        <v>12</v>
      </c>
      <c r="L125" s="1">
        <v>2</v>
      </c>
      <c r="M125" s="2" t="s">
        <v>166</v>
      </c>
      <c r="N125" s="2" t="s">
        <v>13</v>
      </c>
      <c r="O125" s="1">
        <v>387</v>
      </c>
      <c r="P125" s="1">
        <v>374</v>
      </c>
      <c r="Q125" s="1">
        <v>13</v>
      </c>
      <c r="R125" s="1">
        <v>257</v>
      </c>
      <c r="S125" s="1">
        <v>67</v>
      </c>
      <c r="T125" s="1">
        <v>36</v>
      </c>
      <c r="U125" s="1">
        <v>14</v>
      </c>
      <c r="V125" s="2">
        <v>3.3591731266149898</v>
      </c>
      <c r="W125" s="2">
        <v>68.716577540106996</v>
      </c>
      <c r="X125" s="2">
        <v>27.540106951871699</v>
      </c>
      <c r="Y125" s="2">
        <v>3.7433155080213898</v>
      </c>
      <c r="Z125" s="2">
        <v>17.9144385026738</v>
      </c>
    </row>
    <row r="126" spans="1:26" x14ac:dyDescent="0.3">
      <c r="A126" s="2" t="s">
        <v>182</v>
      </c>
      <c r="B126" s="1">
        <v>2404</v>
      </c>
      <c r="C126" s="2" t="s">
        <v>11</v>
      </c>
      <c r="D126" s="1">
        <v>240402</v>
      </c>
      <c r="E126" s="2" t="s">
        <v>15</v>
      </c>
      <c r="F126" s="1">
        <v>2404020010</v>
      </c>
      <c r="G126" s="2" t="s">
        <v>20</v>
      </c>
      <c r="H126" s="1">
        <v>24040207701</v>
      </c>
      <c r="I126" s="2" t="s">
        <v>163</v>
      </c>
      <c r="J126" s="1">
        <v>3</v>
      </c>
      <c r="K126" s="2" t="s">
        <v>12</v>
      </c>
      <c r="L126" s="1">
        <v>2</v>
      </c>
      <c r="M126" s="2" t="s">
        <v>166</v>
      </c>
      <c r="N126" s="2" t="s">
        <v>13</v>
      </c>
      <c r="O126" s="1">
        <v>91</v>
      </c>
      <c r="P126" s="1">
        <v>87</v>
      </c>
      <c r="Q126" s="1">
        <v>4</v>
      </c>
      <c r="R126" s="1">
        <v>16</v>
      </c>
      <c r="S126" s="1">
        <v>44</v>
      </c>
      <c r="T126" s="1">
        <v>22</v>
      </c>
      <c r="U126" s="1">
        <v>5</v>
      </c>
      <c r="V126" s="2">
        <v>4.3956043956044004</v>
      </c>
      <c r="W126" s="2">
        <v>18.390804597701099</v>
      </c>
      <c r="X126" s="2">
        <v>75.862068965517196</v>
      </c>
      <c r="Y126" s="2">
        <v>5.7471264367816097</v>
      </c>
      <c r="Z126" s="2">
        <v>50.574712643678197</v>
      </c>
    </row>
    <row r="127" spans="1:26" x14ac:dyDescent="0.3">
      <c r="A127" s="2" t="s">
        <v>182</v>
      </c>
      <c r="B127" s="1">
        <v>2404</v>
      </c>
      <c r="C127" s="2" t="s">
        <v>11</v>
      </c>
      <c r="D127" s="1">
        <v>240402</v>
      </c>
      <c r="E127" s="2" t="s">
        <v>15</v>
      </c>
      <c r="F127" s="1">
        <v>2404020011</v>
      </c>
      <c r="G127" s="2" t="s">
        <v>48</v>
      </c>
      <c r="H127" s="1">
        <v>24040208901</v>
      </c>
      <c r="I127" s="2" t="s">
        <v>73</v>
      </c>
      <c r="J127" s="1">
        <v>3</v>
      </c>
      <c r="K127" s="2" t="s">
        <v>12</v>
      </c>
      <c r="L127" s="1">
        <v>2</v>
      </c>
      <c r="M127" s="2" t="s">
        <v>166</v>
      </c>
      <c r="N127" s="2" t="s">
        <v>13</v>
      </c>
      <c r="O127" s="1">
        <v>288</v>
      </c>
      <c r="P127" s="1">
        <v>266</v>
      </c>
      <c r="Q127" s="1">
        <v>22</v>
      </c>
      <c r="R127" s="1">
        <v>159</v>
      </c>
      <c r="S127" s="1">
        <v>44</v>
      </c>
      <c r="T127" s="1">
        <v>43</v>
      </c>
      <c r="U127" s="1">
        <v>20</v>
      </c>
      <c r="V127" s="2">
        <v>7.6388888888888902</v>
      </c>
      <c r="W127" s="2">
        <v>59.774436090225599</v>
      </c>
      <c r="X127" s="2">
        <v>32.706766917293201</v>
      </c>
      <c r="Y127" s="2">
        <v>7.5187969924812004</v>
      </c>
      <c r="Z127" s="2">
        <v>16.541353383458599</v>
      </c>
    </row>
    <row r="128" spans="1:26" x14ac:dyDescent="0.3">
      <c r="A128" s="2" t="s">
        <v>182</v>
      </c>
      <c r="B128" s="1">
        <v>2404</v>
      </c>
      <c r="C128" s="2" t="s">
        <v>11</v>
      </c>
      <c r="D128" s="1">
        <v>240402</v>
      </c>
      <c r="E128" s="2" t="s">
        <v>15</v>
      </c>
      <c r="F128" s="1">
        <v>2404020013</v>
      </c>
      <c r="G128" s="2" t="s">
        <v>23</v>
      </c>
      <c r="H128" s="1">
        <v>24040212504</v>
      </c>
      <c r="I128" s="2" t="s">
        <v>98</v>
      </c>
      <c r="J128" s="1">
        <v>3</v>
      </c>
      <c r="K128" s="2" t="s">
        <v>12</v>
      </c>
      <c r="L128" s="1">
        <v>2</v>
      </c>
      <c r="M128" s="2" t="s">
        <v>166</v>
      </c>
      <c r="N128" s="2" t="s">
        <v>13</v>
      </c>
      <c r="O128" s="1">
        <v>177</v>
      </c>
      <c r="P128" s="1">
        <v>175</v>
      </c>
      <c r="Q128" s="1">
        <v>2</v>
      </c>
      <c r="R128" s="1">
        <v>46</v>
      </c>
      <c r="S128" s="1">
        <v>51</v>
      </c>
      <c r="T128" s="1">
        <v>60</v>
      </c>
      <c r="U128" s="1">
        <v>18</v>
      </c>
      <c r="V128" s="2">
        <v>1.1299435028248599</v>
      </c>
      <c r="W128" s="2">
        <v>26.285714285714299</v>
      </c>
      <c r="X128" s="2">
        <v>63.428571428571402</v>
      </c>
      <c r="Y128" s="2">
        <v>10.285714285714301</v>
      </c>
      <c r="Z128" s="2">
        <v>29.1428571428571</v>
      </c>
    </row>
    <row r="129" spans="1:26" x14ac:dyDescent="0.3">
      <c r="A129" s="2" t="s">
        <v>182</v>
      </c>
      <c r="B129" s="1">
        <v>2404</v>
      </c>
      <c r="C129" s="2" t="s">
        <v>11</v>
      </c>
      <c r="D129" s="1">
        <v>240402</v>
      </c>
      <c r="E129" s="2" t="s">
        <v>15</v>
      </c>
      <c r="F129" s="1">
        <v>2404020007</v>
      </c>
      <c r="G129" s="2" t="s">
        <v>16</v>
      </c>
      <c r="H129" s="1">
        <v>24040201001</v>
      </c>
      <c r="I129" s="2" t="s">
        <v>25</v>
      </c>
      <c r="J129" s="1">
        <v>3</v>
      </c>
      <c r="K129" s="2" t="s">
        <v>12</v>
      </c>
      <c r="L129" s="1">
        <v>2</v>
      </c>
      <c r="M129" s="2" t="s">
        <v>166</v>
      </c>
      <c r="N129" s="2" t="s">
        <v>13</v>
      </c>
      <c r="O129" s="1">
        <v>196</v>
      </c>
      <c r="P129" s="1">
        <v>194</v>
      </c>
      <c r="Q129" s="1">
        <v>2</v>
      </c>
      <c r="R129" s="1">
        <v>61</v>
      </c>
      <c r="S129" s="1">
        <v>56</v>
      </c>
      <c r="T129" s="1">
        <v>54</v>
      </c>
      <c r="U129" s="1">
        <v>23</v>
      </c>
      <c r="V129" s="2">
        <v>1.0204081632653099</v>
      </c>
      <c r="W129" s="2">
        <v>31.443298969072199</v>
      </c>
      <c r="X129" s="2">
        <v>56.701030927834999</v>
      </c>
      <c r="Y129" s="2">
        <v>11.8556701030928</v>
      </c>
      <c r="Z129" s="2">
        <v>28.865979381443299</v>
      </c>
    </row>
    <row r="130" spans="1:26" x14ac:dyDescent="0.3">
      <c r="A130" s="2" t="s">
        <v>182</v>
      </c>
      <c r="B130" s="1">
        <v>2404</v>
      </c>
      <c r="C130" s="2" t="s">
        <v>11</v>
      </c>
      <c r="D130" s="1">
        <v>240402</v>
      </c>
      <c r="E130" s="2" t="s">
        <v>15</v>
      </c>
      <c r="F130" s="1">
        <v>2404020013</v>
      </c>
      <c r="G130" s="2" t="s">
        <v>23</v>
      </c>
      <c r="H130" s="1">
        <v>24040214201</v>
      </c>
      <c r="I130" s="2" t="s">
        <v>110</v>
      </c>
      <c r="J130" s="1">
        <v>3</v>
      </c>
      <c r="K130" s="2" t="s">
        <v>12</v>
      </c>
      <c r="L130" s="1">
        <v>2</v>
      </c>
      <c r="M130" s="2" t="s">
        <v>166</v>
      </c>
      <c r="N130" s="2" t="s">
        <v>13</v>
      </c>
      <c r="O130" s="1">
        <v>323</v>
      </c>
      <c r="P130" s="1">
        <v>319</v>
      </c>
      <c r="Q130" s="1">
        <v>4</v>
      </c>
      <c r="R130" s="1">
        <v>207</v>
      </c>
      <c r="S130" s="1">
        <v>80</v>
      </c>
      <c r="T130" s="1">
        <v>29</v>
      </c>
      <c r="U130" s="1">
        <v>3</v>
      </c>
      <c r="V130" s="2">
        <v>1.2383900928792599</v>
      </c>
      <c r="W130" s="2">
        <v>64.890282131661493</v>
      </c>
      <c r="X130" s="2">
        <v>34.169278996865202</v>
      </c>
      <c r="Y130" s="2">
        <v>0.94043887147335403</v>
      </c>
      <c r="Z130" s="2">
        <v>25.078369905956102</v>
      </c>
    </row>
    <row r="131" spans="1:26" x14ac:dyDescent="0.3">
      <c r="A131" s="2" t="s">
        <v>182</v>
      </c>
      <c r="B131" s="1">
        <v>2404</v>
      </c>
      <c r="C131" s="2" t="s">
        <v>11</v>
      </c>
      <c r="D131" s="1">
        <v>240402</v>
      </c>
      <c r="E131" s="2" t="s">
        <v>15</v>
      </c>
      <c r="F131" s="1">
        <v>2404020012</v>
      </c>
      <c r="G131" s="2" t="s">
        <v>37</v>
      </c>
      <c r="H131" s="1">
        <v>24040214301</v>
      </c>
      <c r="I131" s="2" t="s">
        <v>111</v>
      </c>
      <c r="J131" s="1">
        <v>3</v>
      </c>
      <c r="K131" s="2" t="s">
        <v>12</v>
      </c>
      <c r="L131" s="1">
        <v>2</v>
      </c>
      <c r="M131" s="2" t="s">
        <v>166</v>
      </c>
      <c r="N131" s="2" t="s">
        <v>13</v>
      </c>
      <c r="O131" s="1">
        <v>326</v>
      </c>
      <c r="P131" s="1">
        <v>321</v>
      </c>
      <c r="Q131" s="1">
        <v>5</v>
      </c>
      <c r="R131" s="1">
        <v>172</v>
      </c>
      <c r="S131" s="1">
        <v>58</v>
      </c>
      <c r="T131" s="1">
        <v>76</v>
      </c>
      <c r="U131" s="1">
        <v>15</v>
      </c>
      <c r="V131" s="2">
        <v>1.53374233128834</v>
      </c>
      <c r="W131" s="2">
        <v>53.5825545171339</v>
      </c>
      <c r="X131" s="2">
        <v>41.744548286604399</v>
      </c>
      <c r="Y131" s="2">
        <v>4.6728971962616797</v>
      </c>
      <c r="Z131" s="2">
        <v>18.068535825545201</v>
      </c>
    </row>
    <row r="132" spans="1:26" x14ac:dyDescent="0.3">
      <c r="A132" s="2" t="s">
        <v>182</v>
      </c>
      <c r="B132" s="1">
        <v>2404</v>
      </c>
      <c r="C132" s="2" t="s">
        <v>11</v>
      </c>
      <c r="D132" s="1">
        <v>240402</v>
      </c>
      <c r="E132" s="2" t="s">
        <v>15</v>
      </c>
      <c r="F132" s="1">
        <v>2404020013</v>
      </c>
      <c r="G132" s="2" t="s">
        <v>23</v>
      </c>
      <c r="H132" s="1">
        <v>24040212501</v>
      </c>
      <c r="I132" s="2" t="s">
        <v>97</v>
      </c>
      <c r="J132" s="1">
        <v>3</v>
      </c>
      <c r="K132" s="2" t="s">
        <v>12</v>
      </c>
      <c r="L132" s="1">
        <v>2</v>
      </c>
      <c r="M132" s="2" t="s">
        <v>166</v>
      </c>
      <c r="N132" s="2" t="s">
        <v>13</v>
      </c>
      <c r="O132" s="1">
        <v>414</v>
      </c>
      <c r="P132" s="1">
        <v>410</v>
      </c>
      <c r="Q132" s="1">
        <v>4</v>
      </c>
      <c r="R132" s="1">
        <v>142</v>
      </c>
      <c r="S132" s="1">
        <v>110</v>
      </c>
      <c r="T132" s="1">
        <v>109</v>
      </c>
      <c r="U132" s="1">
        <v>49</v>
      </c>
      <c r="V132" s="2">
        <v>0.96618357487922701</v>
      </c>
      <c r="W132" s="2">
        <v>34.634146341463399</v>
      </c>
      <c r="X132" s="2">
        <v>53.414634146341498</v>
      </c>
      <c r="Y132" s="2">
        <v>11.951219512195101</v>
      </c>
      <c r="Z132" s="2">
        <v>26.829268292682901</v>
      </c>
    </row>
    <row r="133" spans="1:26" x14ac:dyDescent="0.3">
      <c r="A133" s="2" t="s">
        <v>182</v>
      </c>
      <c r="B133" s="1">
        <v>2404</v>
      </c>
      <c r="C133" s="2" t="s">
        <v>11</v>
      </c>
      <c r="D133" s="1">
        <v>240402</v>
      </c>
      <c r="E133" s="2" t="s">
        <v>15</v>
      </c>
      <c r="F133" s="1">
        <v>2404020008</v>
      </c>
      <c r="G133" s="2" t="s">
        <v>18</v>
      </c>
      <c r="H133" s="1">
        <v>24040205401</v>
      </c>
      <c r="I133" s="2" t="s">
        <v>53</v>
      </c>
      <c r="J133" s="1">
        <v>3</v>
      </c>
      <c r="K133" s="2" t="s">
        <v>12</v>
      </c>
      <c r="L133" s="1">
        <v>1</v>
      </c>
      <c r="M133" s="2" t="s">
        <v>167</v>
      </c>
      <c r="N133" s="2" t="s">
        <v>13</v>
      </c>
      <c r="O133" s="1">
        <v>119</v>
      </c>
      <c r="P133" s="1">
        <v>115</v>
      </c>
      <c r="Q133" s="1">
        <v>4</v>
      </c>
      <c r="R133" s="1">
        <v>32</v>
      </c>
      <c r="S133" s="1">
        <v>30</v>
      </c>
      <c r="T133" s="1">
        <v>39</v>
      </c>
      <c r="U133" s="1">
        <v>14</v>
      </c>
      <c r="V133" s="2">
        <v>3.3613445378151301</v>
      </c>
      <c r="W133" s="2">
        <v>27.826086956521699</v>
      </c>
      <c r="X133" s="2">
        <v>60</v>
      </c>
      <c r="Y133" s="2">
        <v>12.173913043478301</v>
      </c>
      <c r="Z133" s="2">
        <v>26.086956521739101</v>
      </c>
    </row>
    <row r="134" spans="1:26" x14ac:dyDescent="0.3">
      <c r="A134" s="2" t="s">
        <v>182</v>
      </c>
      <c r="B134" s="1">
        <v>2404</v>
      </c>
      <c r="C134" s="2" t="s">
        <v>11</v>
      </c>
      <c r="D134" s="1">
        <v>240402</v>
      </c>
      <c r="E134" s="2" t="s">
        <v>15</v>
      </c>
      <c r="F134" s="1">
        <v>2404020004</v>
      </c>
      <c r="G134" s="2" t="s">
        <v>30</v>
      </c>
      <c r="H134" s="1">
        <v>24040201303</v>
      </c>
      <c r="I134" s="2" t="s">
        <v>121</v>
      </c>
      <c r="J134" s="1">
        <v>3</v>
      </c>
      <c r="K134" s="2" t="s">
        <v>12</v>
      </c>
      <c r="L134" s="1">
        <v>1</v>
      </c>
      <c r="M134" s="2" t="s">
        <v>167</v>
      </c>
      <c r="N134" s="2" t="s">
        <v>113</v>
      </c>
      <c r="O134" s="1">
        <v>39</v>
      </c>
      <c r="P134" s="1">
        <v>35</v>
      </c>
      <c r="Q134" s="1">
        <v>4</v>
      </c>
      <c r="R134" s="1">
        <v>13</v>
      </c>
      <c r="S134" s="1">
        <v>11</v>
      </c>
      <c r="T134" s="1">
        <v>10</v>
      </c>
      <c r="U134" s="1">
        <v>1</v>
      </c>
      <c r="V134" s="2">
        <v>10.2564102564103</v>
      </c>
      <c r="W134" s="2">
        <v>37.142857142857103</v>
      </c>
      <c r="X134" s="2">
        <v>60</v>
      </c>
      <c r="Y134" s="2">
        <v>2.8571428571428599</v>
      </c>
      <c r="Z134" s="2">
        <v>31.428571428571399</v>
      </c>
    </row>
    <row r="135" spans="1:26" x14ac:dyDescent="0.3">
      <c r="A135" s="2" t="s">
        <v>182</v>
      </c>
      <c r="B135" s="1">
        <v>2404</v>
      </c>
      <c r="C135" s="2" t="s">
        <v>11</v>
      </c>
      <c r="D135" s="1">
        <v>240402</v>
      </c>
      <c r="E135" s="2" t="s">
        <v>15</v>
      </c>
      <c r="F135" s="1">
        <v>2404020013</v>
      </c>
      <c r="G135" s="2" t="s">
        <v>23</v>
      </c>
      <c r="H135" s="1">
        <v>24040201401</v>
      </c>
      <c r="I135" s="2" t="s">
        <v>122</v>
      </c>
      <c r="J135" s="1">
        <v>3</v>
      </c>
      <c r="K135" s="2" t="s">
        <v>12</v>
      </c>
      <c r="L135" s="1">
        <v>1</v>
      </c>
      <c r="M135" s="2" t="s">
        <v>167</v>
      </c>
      <c r="N135" s="2" t="s">
        <v>113</v>
      </c>
      <c r="O135" s="1">
        <v>16</v>
      </c>
      <c r="P135" s="1">
        <v>15</v>
      </c>
      <c r="Q135" s="1">
        <v>1</v>
      </c>
      <c r="R135" s="1">
        <v>0</v>
      </c>
      <c r="S135" s="1">
        <v>5</v>
      </c>
      <c r="T135" s="1">
        <v>9</v>
      </c>
      <c r="U135" s="1">
        <v>1</v>
      </c>
      <c r="V135" s="2">
        <v>6.25</v>
      </c>
      <c r="W135" s="2">
        <v>0</v>
      </c>
      <c r="X135" s="2">
        <v>93.3333333333333</v>
      </c>
      <c r="Y135" s="2">
        <v>6.6666666666666696</v>
      </c>
      <c r="Z135" s="2">
        <v>33.3333333333333</v>
      </c>
    </row>
  </sheetData>
  <autoFilter ref="A1:Z135" xr:uid="{00000000-0001-0000-0200-000000000000}">
    <sortState xmlns:xlrd2="http://schemas.microsoft.com/office/spreadsheetml/2017/richdata2" ref="A2:Z135">
      <sortCondition ref="E1:E1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SAT 2022-23 First Sem</vt:lpstr>
      <vt:lpstr>SAT 2022-23 Second 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EIC-DATA</dc:creator>
  <cp:lastModifiedBy>BMIS Kadi Mehsana</cp:lastModifiedBy>
  <dcterms:created xsi:type="dcterms:W3CDTF">2025-07-22T11:28:00Z</dcterms:created>
  <dcterms:modified xsi:type="dcterms:W3CDTF">2026-08-25T06:03:59Z</dcterms:modified>
</cp:coreProperties>
</file>